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5600" windowHeight="14460" tabRatio="500"/>
  </bookViews>
  <sheets>
    <sheet name="wordpress_paired_res (2)" sheetId="2" r:id="rId1"/>
    <sheet name="wordpress_paired_res" sheetId="1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7" i="2" l="1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R27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7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7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7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7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7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7" i="2"/>
</calcChain>
</file>

<file path=xl/sharedStrings.xml><?xml version="1.0" encoding="utf-8"?>
<sst xmlns="http://schemas.openxmlformats.org/spreadsheetml/2006/main" count="45" uniqueCount="26">
  <si>
    <t>Mutantion</t>
  </si>
  <si>
    <t>Unsolved Slices</t>
  </si>
  <si>
    <t>Total # Vars</t>
  </si>
  <si>
    <t># Slices</t>
  </si>
  <si>
    <t># largest clause</t>
  </si>
  <si>
    <t># largest slice</t>
  </si>
  <si>
    <t>repeated slices</t>
  </si>
  <si>
    <t>first sol time</t>
  </si>
  <si>
    <t>whole sol time</t>
  </si>
  <si>
    <t>Slice time</t>
  </si>
  <si>
    <t>Canonize Time</t>
  </si>
  <si>
    <t># sat calls</t>
  </si>
  <si>
    <t># of clauses</t>
  </si>
  <si>
    <t>original</t>
  </si>
  <si>
    <t>Ts-First solution</t>
  </si>
  <si>
    <t>Ts-whole solution</t>
  </si>
  <si>
    <t>Rs-repeated slices</t>
  </si>
  <si>
    <t>Rs-sizeClauses</t>
  </si>
  <si>
    <t>Rs-#Vars</t>
  </si>
  <si>
    <t>1/Ts First</t>
  </si>
  <si>
    <t>1-Ts First</t>
  </si>
  <si>
    <t>1-Rs Vars</t>
  </si>
  <si>
    <t>Total # Clauses</t>
  </si>
  <si>
    <t># clause in the largest slice</t>
  </si>
  <si>
    <t># vars in largest slice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</si>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</sst>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4" borderId="0" xfId="0" applyFont="1" applyFill="1"/>
    <xf numFmtId="0" fontId="0" fillId="5" borderId="0" xfId="0" applyFill="1"/>
    <xf numFmtId="2" fontId="0" fillId="0" borderId="0" xfId="0" applyNumberFormat="1"/>
    <xf numFmtId="0" fontId="3" fillId="3" borderId="0" xfId="2"/>
    <xf numFmtId="2" fontId="2" fillId="2" borderId="0" xfId="1" applyNumberFormat="1"/>
  </cellXfs>
  <cellStyles count="5">
    <cellStyle name="Bad" xfId="2" builtinId="27"/>
    <cellStyle name="Followed Hyperlink" xfId="4" builtinId="9" hidden="1"/>
    <cellStyle name="Good" xfId="1" builtinId="26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Ts-first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'wordpress_paired_res (2)'!$T$2:$T$23</c:f>
              <c:numCache>
                <c:formatCode>0.00</c:formatCode>
                <c:ptCount val="22"/>
                <c:pt idx="0">
                  <c:v>0.0263157894736842</c:v>
                </c:pt>
                <c:pt idx="1">
                  <c:v>0.0212765957446808</c:v>
                </c:pt>
                <c:pt idx="2">
                  <c:v>0.075</c:v>
                </c:pt>
                <c:pt idx="3">
                  <c:v>0.0227272727272727</c:v>
                </c:pt>
                <c:pt idx="4">
                  <c:v>0.0857142857142857</c:v>
                </c:pt>
                <c:pt idx="5">
                  <c:v>0.0909090909090909</c:v>
                </c:pt>
                <c:pt idx="6">
                  <c:v>0.0333333333333333</c:v>
                </c:pt>
                <c:pt idx="7">
                  <c:v>0.23943661971831</c:v>
                </c:pt>
                <c:pt idx="8">
                  <c:v>0.0526315789473684</c:v>
                </c:pt>
                <c:pt idx="9">
                  <c:v>0.21875</c:v>
                </c:pt>
                <c:pt idx="10">
                  <c:v>0.0178571428571429</c:v>
                </c:pt>
                <c:pt idx="11">
                  <c:v>0.0652173913043478</c:v>
                </c:pt>
                <c:pt idx="12">
                  <c:v>0.0229885057471264</c:v>
                </c:pt>
                <c:pt idx="13">
                  <c:v>0.0714285714285714</c:v>
                </c:pt>
                <c:pt idx="14">
                  <c:v>0.0606060606060606</c:v>
                </c:pt>
                <c:pt idx="15">
                  <c:v>0.102564102564103</c:v>
                </c:pt>
                <c:pt idx="16">
                  <c:v>0.0476190476190476</c:v>
                </c:pt>
                <c:pt idx="17">
                  <c:v>0.295454545454545</c:v>
                </c:pt>
                <c:pt idx="18">
                  <c:v>0.0588235294117647</c:v>
                </c:pt>
                <c:pt idx="19">
                  <c:v>0.132352941176471</c:v>
                </c:pt>
                <c:pt idx="20">
                  <c:v>0.0714285714285714</c:v>
                </c:pt>
                <c:pt idx="21">
                  <c:v>0.138888888888889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9520144"/>
        <c:axId val="-1992816736"/>
      </c:scatterChart>
      <c:valAx>
        <c:axId val="-200952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2816736"/>
        <c:crosses val="autoZero"/>
        <c:crossBetween val="midCat"/>
      </c:valAx>
      <c:valAx>
        <c:axId val="-1992816736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952014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1-Rs (Vars)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'wordpress_paired_res (2)'!$AA$2:$AA$23</c:f>
              <c:numCache>
                <c:formatCode>0.00</c:formatCode>
                <c:ptCount val="22"/>
                <c:pt idx="0">
                  <c:v>0.206463195691203</c:v>
                </c:pt>
                <c:pt idx="1">
                  <c:v>0.243816254416961</c:v>
                </c:pt>
                <c:pt idx="2">
                  <c:v>0.200174064403829</c:v>
                </c:pt>
                <c:pt idx="3">
                  <c:v>0.248794599807136</c:v>
                </c:pt>
                <c:pt idx="4">
                  <c:v>0.206463195691203</c:v>
                </c:pt>
                <c:pt idx="5">
                  <c:v>0.203619909502262</c:v>
                </c:pt>
                <c:pt idx="6">
                  <c:v>0.246935201401051</c:v>
                </c:pt>
                <c:pt idx="7">
                  <c:v>0.657461809635723</c:v>
                </c:pt>
                <c:pt idx="8">
                  <c:v>0.165441176470588</c:v>
                </c:pt>
                <c:pt idx="9">
                  <c:v>0.160284951024043</c:v>
                </c:pt>
                <c:pt idx="10">
                  <c:v>0.246935201401051</c:v>
                </c:pt>
                <c:pt idx="11">
                  <c:v>0.206463195691203</c:v>
                </c:pt>
                <c:pt idx="12">
                  <c:v>0.626474442988204</c:v>
                </c:pt>
                <c:pt idx="13">
                  <c:v>0.203619909502262</c:v>
                </c:pt>
                <c:pt idx="14">
                  <c:v>0.165441176470588</c:v>
                </c:pt>
                <c:pt idx="15">
                  <c:v>0.206463195691203</c:v>
                </c:pt>
                <c:pt idx="16">
                  <c:v>0.206463195691203</c:v>
                </c:pt>
                <c:pt idx="17">
                  <c:v>0.20627802690583</c:v>
                </c:pt>
                <c:pt idx="18">
                  <c:v>0.206463195691203</c:v>
                </c:pt>
                <c:pt idx="19">
                  <c:v>0.626474442988204</c:v>
                </c:pt>
                <c:pt idx="20">
                  <c:v>0.206463195691203</c:v>
                </c:pt>
                <c:pt idx="21">
                  <c:v>0.165441176470588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620608"/>
        <c:axId val="-2033110032"/>
      </c:scatterChart>
      <c:valAx>
        <c:axId val="-204462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3110032"/>
        <c:crosses val="autoZero"/>
        <c:crossBetween val="midCat"/>
      </c:valAx>
      <c:valAx>
        <c:axId val="-2033110032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62060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Ts-whole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'wordpress_paired_res (2)'!$U$2:$U$23</c:f>
              <c:numCache>
                <c:formatCode>0.00</c:formatCode>
                <c:ptCount val="22"/>
                <c:pt idx="0">
                  <c:v>0.87293562521065</c:v>
                </c:pt>
                <c:pt idx="1">
                  <c:v>0.0740396530359355</c:v>
                </c:pt>
                <c:pt idx="2">
                  <c:v>0.0197436161449753</c:v>
                </c:pt>
                <c:pt idx="3">
                  <c:v>0.0995054091792924</c:v>
                </c:pt>
                <c:pt idx="4">
                  <c:v>0.760416666666667</c:v>
                </c:pt>
                <c:pt idx="5">
                  <c:v>0.103271205781666</c:v>
                </c:pt>
                <c:pt idx="6">
                  <c:v>0.321671773052533</c:v>
                </c:pt>
                <c:pt idx="7">
                  <c:v>0.0470662824207493</c:v>
                </c:pt>
                <c:pt idx="8">
                  <c:v>0.0514267546299976</c:v>
                </c:pt>
                <c:pt idx="9">
                  <c:v>0.00756028490517463</c:v>
                </c:pt>
                <c:pt idx="10">
                  <c:v>0.38762039296263</c:v>
                </c:pt>
                <c:pt idx="11">
                  <c:v>0.56233850129199</c:v>
                </c:pt>
                <c:pt idx="12">
                  <c:v>0.627940128296507</c:v>
                </c:pt>
                <c:pt idx="13">
                  <c:v>0.640229885057471</c:v>
                </c:pt>
                <c:pt idx="14">
                  <c:v>0.49486301369863</c:v>
                </c:pt>
                <c:pt idx="15">
                  <c:v>0.109593443676683</c:v>
                </c:pt>
                <c:pt idx="16">
                  <c:v>0.742691937038227</c:v>
                </c:pt>
                <c:pt idx="17">
                  <c:v>0.563350468702752</c:v>
                </c:pt>
                <c:pt idx="18">
                  <c:v>0.724505327245053</c:v>
                </c:pt>
                <c:pt idx="19">
                  <c:v>0.613974231912785</c:v>
                </c:pt>
                <c:pt idx="20">
                  <c:v>0.510344827586207</c:v>
                </c:pt>
                <c:pt idx="21">
                  <c:v>0.015403323875152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3944848"/>
        <c:axId val="-2005172352"/>
      </c:scatterChart>
      <c:valAx>
        <c:axId val="-19939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5172352"/>
        <c:crosses val="autoZero"/>
        <c:crossBetween val="midCat"/>
      </c:valAx>
      <c:valAx>
        <c:axId val="-2005172352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9448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30</xdr:row>
      <xdr:rowOff>0</xdr:rowOff>
    </xdr:from>
    <xdr:to>
      <xdr:col>19</xdr:col>
      <xdr:colOff>444500</xdr:colOff>
      <xdr:row>43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25</xdr:col>
      <xdr:colOff>444500</xdr:colOff>
      <xdr:row>43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177800</xdr:colOff>
      <xdr:row>46</xdr:row>
      <xdr:rowOff>25400</xdr:rowOff>
    </xdr:from>
    <xdr:to>
      <xdr:col>19</xdr:col>
      <xdr:colOff>622300</xdr:colOff>
      <xdr:row>59</xdr:row>
      <xdr:rowOff>127000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abSelected="1" workbookViewId="0">
      <selection activeCell="Q22" sqref="Q22"/>
    </sheetView>
  </sheetViews>
  <sheetFormatPr baseColWidth="10" defaultRowHeight="16" x14ac:dyDescent="0.2"/>
  <cols>
    <col min="1" max="1" width="9.83203125" bestFit="1" customWidth="1"/>
    <col min="2" max="2" width="13.5" bestFit="1" customWidth="1"/>
    <col min="3" max="3" width="10.6640625" bestFit="1" customWidth="1"/>
    <col min="4" max="4" width="13.1640625" bestFit="1" customWidth="1"/>
    <col min="10" max="10" width="13" bestFit="1" customWidth="1"/>
    <col min="11" max="11" width="11.6640625" bestFit="1" customWidth="1"/>
    <col min="13" max="13" width="13" bestFit="1" customWidth="1"/>
    <col min="14" max="14" width="3.5" style="2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23</v>
      </c>
      <c r="G1" s="1" t="s">
        <v>24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9</v>
      </c>
      <c r="M1" s="1" t="s">
        <v>10</v>
      </c>
      <c r="O1" s="1" t="s">
        <v>12</v>
      </c>
      <c r="P1" s="1" t="s">
        <v>7</v>
      </c>
      <c r="Q1" s="1" t="s">
        <v>8</v>
      </c>
      <c r="R1" s="1" t="s">
        <v>11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</row>
    <row r="2" spans="1:27" x14ac:dyDescent="0.2">
      <c r="A2">
        <v>1</v>
      </c>
      <c r="B2">
        <v>1</v>
      </c>
      <c r="C2">
        <v>1114</v>
      </c>
      <c r="D2">
        <v>0</v>
      </c>
      <c r="E2">
        <v>633</v>
      </c>
      <c r="F2">
        <v>2483</v>
      </c>
      <c r="G2">
        <v>230</v>
      </c>
      <c r="H2">
        <v>632</v>
      </c>
      <c r="I2">
        <v>1</v>
      </c>
      <c r="J2">
        <v>2590</v>
      </c>
      <c r="K2">
        <v>2310</v>
      </c>
      <c r="L2">
        <v>3</v>
      </c>
      <c r="M2">
        <v>58</v>
      </c>
      <c r="O2">
        <v>4194</v>
      </c>
      <c r="P2">
        <v>38</v>
      </c>
      <c r="Q2">
        <v>2967</v>
      </c>
      <c r="R2">
        <v>2310</v>
      </c>
      <c r="T2" s="4">
        <f>I2/P2</f>
        <v>2.6315789473684209E-2</v>
      </c>
      <c r="U2" s="4">
        <f>J2/Q2</f>
        <v>0.87293562521065049</v>
      </c>
      <c r="V2" s="4">
        <f>H2/E2</f>
        <v>0.99842022116903628</v>
      </c>
      <c r="W2" s="4">
        <f>(O2-F2)/O2</f>
        <v>0.40796375774916549</v>
      </c>
      <c r="X2" s="4">
        <f>(C2-G2)/C2</f>
        <v>0.79353680430879714</v>
      </c>
      <c r="Y2" s="4">
        <f>P2/I2</f>
        <v>38</v>
      </c>
      <c r="Z2" s="4">
        <f>1-T2</f>
        <v>0.97368421052631582</v>
      </c>
      <c r="AA2" s="4">
        <f>G2/C2</f>
        <v>0.20646319569120286</v>
      </c>
    </row>
    <row r="3" spans="1:27" x14ac:dyDescent="0.2">
      <c r="A3">
        <v>3</v>
      </c>
      <c r="B3">
        <v>2</v>
      </c>
      <c r="C3">
        <v>1132</v>
      </c>
      <c r="D3">
        <v>0</v>
      </c>
      <c r="E3">
        <v>629</v>
      </c>
      <c r="F3">
        <v>2151</v>
      </c>
      <c r="G3">
        <v>276</v>
      </c>
      <c r="H3">
        <v>627</v>
      </c>
      <c r="I3">
        <v>1</v>
      </c>
      <c r="J3">
        <v>7409</v>
      </c>
      <c r="K3">
        <v>8747</v>
      </c>
      <c r="L3">
        <v>2</v>
      </c>
      <c r="M3">
        <v>25</v>
      </c>
      <c r="O3">
        <v>4379</v>
      </c>
      <c r="P3">
        <v>47</v>
      </c>
      <c r="Q3">
        <v>100068</v>
      </c>
      <c r="R3">
        <v>113568</v>
      </c>
      <c r="T3" s="4">
        <f t="shared" ref="T3:U18" si="0">I3/P3</f>
        <v>2.1276595744680851E-2</v>
      </c>
      <c r="U3" s="4">
        <f t="shared" si="0"/>
        <v>7.4039653035935557E-2</v>
      </c>
      <c r="V3" s="4">
        <f t="shared" ref="V3:V23" si="1">H3/E3</f>
        <v>0.99682034976152623</v>
      </c>
      <c r="W3" s="4">
        <f t="shared" ref="W3:W23" si="2">(O3-F3)/O3</f>
        <v>0.50879196163507645</v>
      </c>
      <c r="X3" s="4">
        <f t="shared" ref="X3:X23" si="3">(C3-G3)/C3</f>
        <v>0.75618374558303891</v>
      </c>
      <c r="Y3" s="4">
        <f t="shared" ref="Y3:Y23" si="4">P3/I3</f>
        <v>47</v>
      </c>
      <c r="Z3" s="4">
        <f t="shared" ref="Z3:Z23" si="5">1-T3</f>
        <v>0.97872340425531912</v>
      </c>
      <c r="AA3" s="4">
        <f t="shared" ref="AA3:AA23" si="6">G3/C3</f>
        <v>0.24381625441696114</v>
      </c>
    </row>
    <row r="4" spans="1:27" x14ac:dyDescent="0.2">
      <c r="A4">
        <v>5</v>
      </c>
      <c r="B4">
        <v>2</v>
      </c>
      <c r="C4">
        <v>1149</v>
      </c>
      <c r="D4">
        <v>0</v>
      </c>
      <c r="E4">
        <v>634</v>
      </c>
      <c r="F4">
        <v>1757</v>
      </c>
      <c r="G4">
        <v>230</v>
      </c>
      <c r="H4">
        <v>632</v>
      </c>
      <c r="I4">
        <v>3</v>
      </c>
      <c r="J4">
        <v>1534</v>
      </c>
      <c r="K4">
        <v>2764</v>
      </c>
      <c r="L4">
        <v>2</v>
      </c>
      <c r="M4">
        <v>19</v>
      </c>
      <c r="O4">
        <v>4247</v>
      </c>
      <c r="P4">
        <v>40</v>
      </c>
      <c r="Q4">
        <v>77696</v>
      </c>
      <c r="R4">
        <v>98280</v>
      </c>
      <c r="T4" s="4">
        <f t="shared" si="0"/>
        <v>7.4999999999999997E-2</v>
      </c>
      <c r="U4" s="4">
        <f t="shared" si="0"/>
        <v>1.9743616144975287E-2</v>
      </c>
      <c r="V4" s="4">
        <f t="shared" si="1"/>
        <v>0.99684542586750791</v>
      </c>
      <c r="W4" s="4">
        <f t="shared" si="2"/>
        <v>0.58629620908876856</v>
      </c>
      <c r="X4" s="4">
        <f t="shared" si="3"/>
        <v>0.79982593559617055</v>
      </c>
      <c r="Y4" s="4">
        <f t="shared" si="4"/>
        <v>13.333333333333334</v>
      </c>
      <c r="Z4" s="4">
        <f t="shared" si="5"/>
        <v>0.92500000000000004</v>
      </c>
      <c r="AA4" s="4">
        <f t="shared" si="6"/>
        <v>0.20017406440382943</v>
      </c>
    </row>
    <row r="5" spans="1:27" x14ac:dyDescent="0.2">
      <c r="A5">
        <v>6</v>
      </c>
      <c r="B5">
        <v>12</v>
      </c>
      <c r="C5">
        <v>1037</v>
      </c>
      <c r="D5">
        <v>0</v>
      </c>
      <c r="E5">
        <v>560</v>
      </c>
      <c r="F5">
        <v>2020</v>
      </c>
      <c r="G5">
        <v>258</v>
      </c>
      <c r="H5">
        <v>10</v>
      </c>
      <c r="I5">
        <v>1</v>
      </c>
      <c r="J5">
        <v>7625</v>
      </c>
      <c r="K5">
        <v>8745</v>
      </c>
      <c r="L5">
        <v>2</v>
      </c>
      <c r="M5">
        <v>22</v>
      </c>
      <c r="O5">
        <v>4115</v>
      </c>
      <c r="P5">
        <v>44</v>
      </c>
      <c r="Q5">
        <v>76629</v>
      </c>
      <c r="R5">
        <v>96096</v>
      </c>
      <c r="T5" s="4">
        <f t="shared" si="0"/>
        <v>2.2727272727272728E-2</v>
      </c>
      <c r="U5" s="4">
        <f t="shared" si="0"/>
        <v>9.9505409179292431E-2</v>
      </c>
      <c r="V5" s="4">
        <f t="shared" si="1"/>
        <v>1.7857142857142856E-2</v>
      </c>
      <c r="W5" s="4">
        <f t="shared" si="2"/>
        <v>0.50911300121506686</v>
      </c>
      <c r="X5" s="4">
        <f t="shared" si="3"/>
        <v>0.75120540019286408</v>
      </c>
      <c r="Y5" s="4">
        <f t="shared" si="4"/>
        <v>44</v>
      </c>
      <c r="Z5" s="4">
        <f t="shared" si="5"/>
        <v>0.97727272727272729</v>
      </c>
      <c r="AA5" s="4">
        <f t="shared" si="6"/>
        <v>0.24879459980713597</v>
      </c>
    </row>
    <row r="6" spans="1:27" x14ac:dyDescent="0.2">
      <c r="A6">
        <v>8</v>
      </c>
      <c r="B6">
        <v>1</v>
      </c>
      <c r="C6">
        <v>1114</v>
      </c>
      <c r="D6">
        <v>0</v>
      </c>
      <c r="E6">
        <v>633</v>
      </c>
      <c r="F6">
        <v>2468</v>
      </c>
      <c r="G6">
        <v>230</v>
      </c>
      <c r="H6">
        <v>632</v>
      </c>
      <c r="I6">
        <v>3</v>
      </c>
      <c r="J6">
        <v>1460</v>
      </c>
      <c r="K6">
        <v>1300</v>
      </c>
      <c r="L6">
        <v>3</v>
      </c>
      <c r="M6">
        <v>58</v>
      </c>
      <c r="O6">
        <v>4180</v>
      </c>
      <c r="P6">
        <v>35</v>
      </c>
      <c r="Q6">
        <v>1920</v>
      </c>
      <c r="R6">
        <v>1300</v>
      </c>
      <c r="T6" s="4">
        <f t="shared" si="0"/>
        <v>8.5714285714285715E-2</v>
      </c>
      <c r="U6" s="4">
        <f t="shared" si="0"/>
        <v>0.76041666666666663</v>
      </c>
      <c r="V6" s="4">
        <f t="shared" si="1"/>
        <v>0.99842022116903628</v>
      </c>
      <c r="W6" s="4">
        <f t="shared" si="2"/>
        <v>0.40956937799043064</v>
      </c>
      <c r="X6" s="4">
        <f t="shared" si="3"/>
        <v>0.79353680430879714</v>
      </c>
      <c r="Y6" s="4">
        <f t="shared" si="4"/>
        <v>11.666666666666666</v>
      </c>
      <c r="Z6" s="4">
        <f t="shared" si="5"/>
        <v>0.91428571428571426</v>
      </c>
      <c r="AA6" s="4">
        <f t="shared" si="6"/>
        <v>0.20646319569120286</v>
      </c>
    </row>
    <row r="7" spans="1:27" x14ac:dyDescent="0.2">
      <c r="A7">
        <v>11</v>
      </c>
      <c r="B7">
        <v>2</v>
      </c>
      <c r="C7">
        <v>1105</v>
      </c>
      <c r="D7">
        <v>0</v>
      </c>
      <c r="E7">
        <v>653</v>
      </c>
      <c r="F7">
        <v>2388</v>
      </c>
      <c r="G7">
        <v>225</v>
      </c>
      <c r="H7">
        <v>651</v>
      </c>
      <c r="I7">
        <v>3</v>
      </c>
      <c r="J7">
        <v>2172</v>
      </c>
      <c r="K7">
        <v>1442</v>
      </c>
      <c r="L7">
        <v>4</v>
      </c>
      <c r="M7">
        <v>64</v>
      </c>
      <c r="O7">
        <v>3972</v>
      </c>
      <c r="P7">
        <v>33</v>
      </c>
      <c r="Q7">
        <v>21032</v>
      </c>
      <c r="R7">
        <v>17160</v>
      </c>
      <c r="T7" s="4">
        <f t="shared" si="0"/>
        <v>9.0909090909090912E-2</v>
      </c>
      <c r="U7" s="4">
        <f t="shared" si="0"/>
        <v>0.10327120578166603</v>
      </c>
      <c r="V7" s="4">
        <f t="shared" si="1"/>
        <v>0.99693721286370596</v>
      </c>
      <c r="W7" s="4">
        <f t="shared" si="2"/>
        <v>0.3987915407854985</v>
      </c>
      <c r="X7" s="4">
        <f t="shared" si="3"/>
        <v>0.7963800904977375</v>
      </c>
      <c r="Y7" s="4">
        <f t="shared" si="4"/>
        <v>11</v>
      </c>
      <c r="Z7" s="4">
        <f t="shared" si="5"/>
        <v>0.90909090909090906</v>
      </c>
      <c r="AA7" s="4">
        <f t="shared" si="6"/>
        <v>0.20361990950226244</v>
      </c>
    </row>
    <row r="8" spans="1:27" x14ac:dyDescent="0.2">
      <c r="A8">
        <v>13</v>
      </c>
      <c r="B8">
        <v>2</v>
      </c>
      <c r="C8">
        <v>1142</v>
      </c>
      <c r="D8">
        <v>0</v>
      </c>
      <c r="E8">
        <v>609</v>
      </c>
      <c r="F8">
        <v>2216</v>
      </c>
      <c r="G8">
        <v>282</v>
      </c>
      <c r="H8">
        <v>607</v>
      </c>
      <c r="I8">
        <v>1</v>
      </c>
      <c r="J8">
        <v>31602</v>
      </c>
      <c r="K8">
        <v>30576</v>
      </c>
      <c r="L8">
        <v>2</v>
      </c>
      <c r="M8">
        <v>26</v>
      </c>
      <c r="O8">
        <v>4604</v>
      </c>
      <c r="P8">
        <v>30</v>
      </c>
      <c r="Q8">
        <v>98243</v>
      </c>
      <c r="R8">
        <v>122304</v>
      </c>
      <c r="T8" s="4">
        <f t="shared" si="0"/>
        <v>3.3333333333333333E-2</v>
      </c>
      <c r="U8" s="4">
        <f t="shared" si="0"/>
        <v>0.32167177305253303</v>
      </c>
      <c r="V8" s="4">
        <f t="shared" si="1"/>
        <v>0.99671592775041051</v>
      </c>
      <c r="W8" s="4">
        <f t="shared" si="2"/>
        <v>0.51867940920938316</v>
      </c>
      <c r="X8" s="4">
        <f t="shared" si="3"/>
        <v>0.75306479859894926</v>
      </c>
      <c r="Y8" s="4">
        <f t="shared" si="4"/>
        <v>30</v>
      </c>
      <c r="Z8" s="4">
        <f t="shared" si="5"/>
        <v>0.96666666666666667</v>
      </c>
      <c r="AA8" s="4">
        <f t="shared" si="6"/>
        <v>0.2469352014010508</v>
      </c>
    </row>
    <row r="9" spans="1:27" x14ac:dyDescent="0.2">
      <c r="A9">
        <v>14</v>
      </c>
      <c r="B9">
        <v>2</v>
      </c>
      <c r="C9">
        <v>1702</v>
      </c>
      <c r="D9">
        <v>0</v>
      </c>
      <c r="E9">
        <v>540</v>
      </c>
      <c r="F9">
        <v>8164</v>
      </c>
      <c r="G9">
        <v>1119</v>
      </c>
      <c r="H9">
        <v>538</v>
      </c>
      <c r="I9">
        <v>17</v>
      </c>
      <c r="J9">
        <v>8166</v>
      </c>
      <c r="K9">
        <v>2345</v>
      </c>
      <c r="L9">
        <v>6</v>
      </c>
      <c r="M9">
        <v>285</v>
      </c>
      <c r="O9">
        <v>7635</v>
      </c>
      <c r="P9">
        <v>71</v>
      </c>
      <c r="Q9">
        <v>173500</v>
      </c>
      <c r="R9">
        <v>80850</v>
      </c>
      <c r="T9" s="4">
        <f t="shared" si="0"/>
        <v>0.23943661971830985</v>
      </c>
      <c r="U9" s="4">
        <f t="shared" si="0"/>
        <v>4.7066282420749277E-2</v>
      </c>
      <c r="V9" s="4">
        <f t="shared" si="1"/>
        <v>0.99629629629629635</v>
      </c>
      <c r="W9" s="4">
        <f t="shared" si="2"/>
        <v>-6.9286182056319576E-2</v>
      </c>
      <c r="X9" s="4">
        <f t="shared" si="3"/>
        <v>0.3425381903642773</v>
      </c>
      <c r="Y9" s="4">
        <f t="shared" si="4"/>
        <v>4.1764705882352944</v>
      </c>
      <c r="Z9" s="4">
        <f t="shared" si="5"/>
        <v>0.76056338028169013</v>
      </c>
      <c r="AA9" s="4">
        <f t="shared" si="6"/>
        <v>0.65746180963572265</v>
      </c>
    </row>
    <row r="10" spans="1:27" x14ac:dyDescent="0.2">
      <c r="A10">
        <v>15</v>
      </c>
      <c r="B10">
        <v>3</v>
      </c>
      <c r="C10">
        <v>1088</v>
      </c>
      <c r="D10">
        <v>0</v>
      </c>
      <c r="E10">
        <v>657</v>
      </c>
      <c r="F10">
        <v>1834</v>
      </c>
      <c r="G10">
        <v>180</v>
      </c>
      <c r="H10">
        <v>654</v>
      </c>
      <c r="I10">
        <v>2</v>
      </c>
      <c r="J10">
        <v>647</v>
      </c>
      <c r="K10">
        <v>850</v>
      </c>
      <c r="L10">
        <v>3</v>
      </c>
      <c r="M10">
        <v>42</v>
      </c>
      <c r="O10">
        <v>3728</v>
      </c>
      <c r="P10">
        <v>38</v>
      </c>
      <c r="Q10">
        <v>12581</v>
      </c>
      <c r="R10">
        <v>10868</v>
      </c>
      <c r="T10" s="4">
        <f t="shared" si="0"/>
        <v>5.2631578947368418E-2</v>
      </c>
      <c r="U10" s="4">
        <f t="shared" si="0"/>
        <v>5.1426754629997615E-2</v>
      </c>
      <c r="V10" s="4">
        <f t="shared" si="1"/>
        <v>0.99543378995433784</v>
      </c>
      <c r="W10" s="4">
        <f t="shared" si="2"/>
        <v>0.50804721030042921</v>
      </c>
      <c r="X10" s="4">
        <f t="shared" si="3"/>
        <v>0.8345588235294118</v>
      </c>
      <c r="Y10" s="4">
        <f t="shared" si="4"/>
        <v>19</v>
      </c>
      <c r="Z10" s="4">
        <f t="shared" si="5"/>
        <v>0.94736842105263164</v>
      </c>
      <c r="AA10" s="4">
        <f t="shared" si="6"/>
        <v>0.16544117647058823</v>
      </c>
    </row>
    <row r="11" spans="1:27" x14ac:dyDescent="0.2">
      <c r="A11">
        <v>16</v>
      </c>
      <c r="B11">
        <v>4</v>
      </c>
      <c r="C11">
        <v>1123</v>
      </c>
      <c r="D11">
        <v>0</v>
      </c>
      <c r="E11">
        <v>658</v>
      </c>
      <c r="F11">
        <v>1286</v>
      </c>
      <c r="G11">
        <v>180</v>
      </c>
      <c r="H11">
        <v>654</v>
      </c>
      <c r="I11">
        <v>7</v>
      </c>
      <c r="J11">
        <v>881</v>
      </c>
      <c r="K11">
        <v>1950</v>
      </c>
      <c r="L11">
        <v>3</v>
      </c>
      <c r="M11">
        <v>25</v>
      </c>
      <c r="O11">
        <v>3754</v>
      </c>
      <c r="P11">
        <v>32</v>
      </c>
      <c r="Q11">
        <v>116530</v>
      </c>
      <c r="R11">
        <v>137952</v>
      </c>
      <c r="T11" s="4">
        <f t="shared" si="0"/>
        <v>0.21875</v>
      </c>
      <c r="U11" s="4">
        <f t="shared" si="0"/>
        <v>7.5602849051746327E-3</v>
      </c>
      <c r="V11" s="4">
        <f t="shared" si="1"/>
        <v>0.99392097264437695</v>
      </c>
      <c r="W11" s="4">
        <f t="shared" si="2"/>
        <v>0.65743207245604685</v>
      </c>
      <c r="X11" s="4">
        <f t="shared" si="3"/>
        <v>0.83971504897595728</v>
      </c>
      <c r="Y11" s="4">
        <f t="shared" si="4"/>
        <v>4.5714285714285712</v>
      </c>
      <c r="Z11" s="4">
        <f t="shared" si="5"/>
        <v>0.78125</v>
      </c>
      <c r="AA11" s="4">
        <f t="shared" si="6"/>
        <v>0.16028495102404275</v>
      </c>
    </row>
    <row r="12" spans="1:27" x14ac:dyDescent="0.2">
      <c r="A12">
        <v>17</v>
      </c>
      <c r="B12">
        <v>2</v>
      </c>
      <c r="C12">
        <v>1142</v>
      </c>
      <c r="D12">
        <v>0</v>
      </c>
      <c r="E12">
        <v>609</v>
      </c>
      <c r="F12">
        <v>2252</v>
      </c>
      <c r="G12">
        <v>282</v>
      </c>
      <c r="H12">
        <v>607</v>
      </c>
      <c r="I12">
        <v>1</v>
      </c>
      <c r="J12">
        <v>45276</v>
      </c>
      <c r="K12">
        <v>35496</v>
      </c>
      <c r="L12">
        <v>2</v>
      </c>
      <c r="M12">
        <v>25</v>
      </c>
      <c r="O12">
        <v>4643</v>
      </c>
      <c r="P12">
        <v>56</v>
      </c>
      <c r="Q12">
        <v>116805</v>
      </c>
      <c r="R12">
        <v>141984</v>
      </c>
      <c r="T12" s="4">
        <f t="shared" si="0"/>
        <v>1.7857142857142856E-2</v>
      </c>
      <c r="U12" s="4">
        <f t="shared" si="0"/>
        <v>0.38762039296263001</v>
      </c>
      <c r="V12" s="4">
        <f t="shared" si="1"/>
        <v>0.99671592775041051</v>
      </c>
      <c r="W12" s="4">
        <f t="shared" si="2"/>
        <v>0.51496877019168641</v>
      </c>
      <c r="X12" s="4">
        <f t="shared" si="3"/>
        <v>0.75306479859894926</v>
      </c>
      <c r="Y12" s="4">
        <f t="shared" si="4"/>
        <v>56</v>
      </c>
      <c r="Z12" s="4">
        <f t="shared" si="5"/>
        <v>0.9821428571428571</v>
      </c>
      <c r="AA12" s="4">
        <f t="shared" si="6"/>
        <v>0.2469352014010508</v>
      </c>
    </row>
    <row r="13" spans="1:27" x14ac:dyDescent="0.2">
      <c r="A13">
        <v>19</v>
      </c>
      <c r="B13">
        <v>2</v>
      </c>
      <c r="C13">
        <v>1114</v>
      </c>
      <c r="D13">
        <v>0</v>
      </c>
      <c r="E13">
        <v>633</v>
      </c>
      <c r="F13">
        <v>2483</v>
      </c>
      <c r="G13">
        <v>230</v>
      </c>
      <c r="H13">
        <v>631</v>
      </c>
      <c r="I13">
        <v>3</v>
      </c>
      <c r="J13">
        <v>3482</v>
      </c>
      <c r="K13">
        <v>2312</v>
      </c>
      <c r="L13">
        <v>8</v>
      </c>
      <c r="M13">
        <v>75</v>
      </c>
      <c r="O13">
        <v>4168</v>
      </c>
      <c r="P13">
        <v>46</v>
      </c>
      <c r="Q13">
        <v>6192</v>
      </c>
      <c r="R13">
        <v>4620</v>
      </c>
      <c r="T13" s="4">
        <f t="shared" si="0"/>
        <v>6.5217391304347824E-2</v>
      </c>
      <c r="U13" s="4">
        <f t="shared" si="0"/>
        <v>0.5623385012919897</v>
      </c>
      <c r="V13" s="4">
        <f t="shared" si="1"/>
        <v>0.99684044233807267</v>
      </c>
      <c r="W13" s="4">
        <f t="shared" si="2"/>
        <v>0.40427063339731284</v>
      </c>
      <c r="X13" s="4">
        <f t="shared" si="3"/>
        <v>0.79353680430879714</v>
      </c>
      <c r="Y13" s="4">
        <f t="shared" si="4"/>
        <v>15.333333333333334</v>
      </c>
      <c r="Z13" s="4">
        <f t="shared" si="5"/>
        <v>0.93478260869565222</v>
      </c>
      <c r="AA13" s="4">
        <f t="shared" si="6"/>
        <v>0.20646319569120286</v>
      </c>
    </row>
    <row r="14" spans="1:27" x14ac:dyDescent="0.2">
      <c r="A14">
        <v>20</v>
      </c>
      <c r="B14">
        <v>1</v>
      </c>
      <c r="C14">
        <v>1526</v>
      </c>
      <c r="D14">
        <v>0</v>
      </c>
      <c r="E14">
        <v>561</v>
      </c>
      <c r="F14">
        <v>5178</v>
      </c>
      <c r="G14">
        <v>956</v>
      </c>
      <c r="H14">
        <v>560</v>
      </c>
      <c r="I14">
        <v>2</v>
      </c>
      <c r="J14">
        <v>4405</v>
      </c>
      <c r="K14">
        <v>5280</v>
      </c>
      <c r="L14">
        <v>2</v>
      </c>
      <c r="M14">
        <v>27</v>
      </c>
      <c r="O14">
        <v>6222</v>
      </c>
      <c r="P14">
        <v>87</v>
      </c>
      <c r="Q14">
        <v>7015</v>
      </c>
      <c r="R14">
        <v>5280</v>
      </c>
      <c r="T14" s="4">
        <f t="shared" si="0"/>
        <v>2.2988505747126436E-2</v>
      </c>
      <c r="U14" s="4">
        <f t="shared" si="0"/>
        <v>0.62794012829650747</v>
      </c>
      <c r="V14" s="4">
        <f t="shared" si="1"/>
        <v>0.99821746880570406</v>
      </c>
      <c r="W14" s="4">
        <f t="shared" si="2"/>
        <v>0.16779170684667311</v>
      </c>
      <c r="X14" s="4">
        <f t="shared" si="3"/>
        <v>0.37352555701179552</v>
      </c>
      <c r="Y14" s="4">
        <f t="shared" si="4"/>
        <v>43.5</v>
      </c>
      <c r="Z14" s="4">
        <f t="shared" si="5"/>
        <v>0.97701149425287359</v>
      </c>
      <c r="AA14" s="4">
        <f t="shared" si="6"/>
        <v>0.62647444298820443</v>
      </c>
    </row>
    <row r="15" spans="1:27" x14ac:dyDescent="0.2">
      <c r="A15">
        <v>21</v>
      </c>
      <c r="B15">
        <v>1</v>
      </c>
      <c r="C15">
        <v>1105</v>
      </c>
      <c r="D15">
        <v>0</v>
      </c>
      <c r="E15">
        <v>653</v>
      </c>
      <c r="F15">
        <v>1699</v>
      </c>
      <c r="G15">
        <v>225</v>
      </c>
      <c r="H15">
        <v>652</v>
      </c>
      <c r="I15">
        <v>3</v>
      </c>
      <c r="J15">
        <v>1114</v>
      </c>
      <c r="K15">
        <v>1430</v>
      </c>
      <c r="L15">
        <v>2</v>
      </c>
      <c r="M15">
        <v>24</v>
      </c>
      <c r="O15">
        <v>3987</v>
      </c>
      <c r="P15">
        <v>42</v>
      </c>
      <c r="Q15">
        <v>1740</v>
      </c>
      <c r="R15">
        <v>1430</v>
      </c>
      <c r="T15" s="4">
        <f t="shared" si="0"/>
        <v>7.1428571428571425E-2</v>
      </c>
      <c r="U15" s="4">
        <f t="shared" si="0"/>
        <v>0.64022988505747125</v>
      </c>
      <c r="V15" s="4">
        <f t="shared" si="1"/>
        <v>0.99846860643185298</v>
      </c>
      <c r="W15" s="4">
        <f t="shared" si="2"/>
        <v>0.57386506144971161</v>
      </c>
      <c r="X15" s="4">
        <f t="shared" si="3"/>
        <v>0.7963800904977375</v>
      </c>
      <c r="Y15" s="4">
        <f t="shared" si="4"/>
        <v>14</v>
      </c>
      <c r="Z15" s="4">
        <f t="shared" si="5"/>
        <v>0.9285714285714286</v>
      </c>
      <c r="AA15" s="4">
        <f t="shared" si="6"/>
        <v>0.20361990950226244</v>
      </c>
    </row>
    <row r="16" spans="1:27" x14ac:dyDescent="0.2">
      <c r="A16">
        <v>22</v>
      </c>
      <c r="B16">
        <v>1</v>
      </c>
      <c r="C16">
        <v>1088</v>
      </c>
      <c r="D16">
        <v>0</v>
      </c>
      <c r="E16">
        <v>657</v>
      </c>
      <c r="F16">
        <v>1834</v>
      </c>
      <c r="G16">
        <v>180</v>
      </c>
      <c r="H16">
        <v>656</v>
      </c>
      <c r="I16">
        <v>2</v>
      </c>
      <c r="J16">
        <v>578</v>
      </c>
      <c r="K16">
        <v>836</v>
      </c>
      <c r="L16">
        <v>3</v>
      </c>
      <c r="M16">
        <v>40</v>
      </c>
      <c r="O16">
        <v>3742</v>
      </c>
      <c r="P16">
        <v>33</v>
      </c>
      <c r="Q16">
        <v>1168</v>
      </c>
      <c r="R16">
        <v>836</v>
      </c>
      <c r="T16" s="4">
        <f t="shared" si="0"/>
        <v>6.0606060606060608E-2</v>
      </c>
      <c r="U16" s="4">
        <f t="shared" si="0"/>
        <v>0.49486301369863012</v>
      </c>
      <c r="V16" s="4">
        <f t="shared" si="1"/>
        <v>0.99847792998477924</v>
      </c>
      <c r="W16" s="4">
        <f t="shared" si="2"/>
        <v>0.5098877605558525</v>
      </c>
      <c r="X16" s="4">
        <f t="shared" si="3"/>
        <v>0.8345588235294118</v>
      </c>
      <c r="Y16" s="4">
        <f t="shared" si="4"/>
        <v>16.5</v>
      </c>
      <c r="Z16" s="4">
        <f t="shared" si="5"/>
        <v>0.93939393939393945</v>
      </c>
      <c r="AA16" s="4">
        <f t="shared" si="6"/>
        <v>0.16544117647058823</v>
      </c>
    </row>
    <row r="17" spans="1:27" x14ac:dyDescent="0.2">
      <c r="A17">
        <v>23</v>
      </c>
      <c r="B17">
        <v>2</v>
      </c>
      <c r="C17">
        <v>1114</v>
      </c>
      <c r="D17">
        <v>0</v>
      </c>
      <c r="E17">
        <v>633</v>
      </c>
      <c r="F17">
        <v>2528</v>
      </c>
      <c r="G17">
        <v>230</v>
      </c>
      <c r="H17">
        <v>631</v>
      </c>
      <c r="I17">
        <v>4</v>
      </c>
      <c r="J17">
        <v>2046</v>
      </c>
      <c r="K17">
        <v>1312</v>
      </c>
      <c r="L17">
        <v>3</v>
      </c>
      <c r="M17">
        <v>64</v>
      </c>
      <c r="O17">
        <v>4200</v>
      </c>
      <c r="P17">
        <v>39</v>
      </c>
      <c r="Q17">
        <v>18669</v>
      </c>
      <c r="R17">
        <v>15600</v>
      </c>
      <c r="T17" s="4">
        <f t="shared" si="0"/>
        <v>0.10256410256410256</v>
      </c>
      <c r="U17" s="4">
        <f t="shared" si="0"/>
        <v>0.10959344367668328</v>
      </c>
      <c r="V17" s="4">
        <f t="shared" si="1"/>
        <v>0.99684044233807267</v>
      </c>
      <c r="W17" s="4">
        <f t="shared" si="2"/>
        <v>0.39809523809523811</v>
      </c>
      <c r="X17" s="4">
        <f t="shared" si="3"/>
        <v>0.79353680430879714</v>
      </c>
      <c r="Y17" s="4">
        <f t="shared" si="4"/>
        <v>9.75</v>
      </c>
      <c r="Z17" s="4">
        <f t="shared" si="5"/>
        <v>0.89743589743589747</v>
      </c>
      <c r="AA17" s="4">
        <f t="shared" si="6"/>
        <v>0.20646319569120286</v>
      </c>
    </row>
    <row r="18" spans="1:27" x14ac:dyDescent="0.2">
      <c r="A18">
        <v>24</v>
      </c>
      <c r="B18">
        <v>1</v>
      </c>
      <c r="C18">
        <v>1114</v>
      </c>
      <c r="D18">
        <v>0</v>
      </c>
      <c r="E18">
        <v>633</v>
      </c>
      <c r="F18">
        <v>2483</v>
      </c>
      <c r="G18">
        <v>230</v>
      </c>
      <c r="H18">
        <v>632</v>
      </c>
      <c r="I18">
        <v>2</v>
      </c>
      <c r="J18">
        <v>2312</v>
      </c>
      <c r="K18">
        <v>2310</v>
      </c>
      <c r="L18">
        <v>4</v>
      </c>
      <c r="M18">
        <v>54</v>
      </c>
      <c r="O18">
        <v>4194</v>
      </c>
      <c r="P18">
        <v>42</v>
      </c>
      <c r="Q18">
        <v>3113</v>
      </c>
      <c r="R18">
        <v>2310</v>
      </c>
      <c r="T18" s="4">
        <f t="shared" si="0"/>
        <v>4.7619047619047616E-2</v>
      </c>
      <c r="U18" s="4">
        <f t="shared" si="0"/>
        <v>0.74269193703822678</v>
      </c>
      <c r="V18" s="4">
        <f t="shared" si="1"/>
        <v>0.99842022116903628</v>
      </c>
      <c r="W18" s="4">
        <f t="shared" si="2"/>
        <v>0.40796375774916549</v>
      </c>
      <c r="X18" s="4">
        <f t="shared" si="3"/>
        <v>0.79353680430879714</v>
      </c>
      <c r="Y18" s="4">
        <f t="shared" si="4"/>
        <v>21</v>
      </c>
      <c r="Z18" s="4">
        <f t="shared" si="5"/>
        <v>0.95238095238095233</v>
      </c>
      <c r="AA18" s="4">
        <f t="shared" si="6"/>
        <v>0.20646319569120286</v>
      </c>
    </row>
    <row r="19" spans="1:27" x14ac:dyDescent="0.2">
      <c r="A19">
        <v>25</v>
      </c>
      <c r="B19">
        <v>1</v>
      </c>
      <c r="C19">
        <v>1115</v>
      </c>
      <c r="D19">
        <v>0</v>
      </c>
      <c r="E19">
        <v>633</v>
      </c>
      <c r="F19">
        <v>2468</v>
      </c>
      <c r="G19">
        <v>230</v>
      </c>
      <c r="H19">
        <v>632</v>
      </c>
      <c r="I19">
        <v>13</v>
      </c>
      <c r="J19">
        <v>1863</v>
      </c>
      <c r="K19">
        <v>1300</v>
      </c>
      <c r="L19">
        <v>3</v>
      </c>
      <c r="M19">
        <v>70</v>
      </c>
      <c r="O19">
        <v>4181</v>
      </c>
      <c r="P19">
        <v>44</v>
      </c>
      <c r="Q19">
        <v>3307</v>
      </c>
      <c r="R19">
        <v>2600</v>
      </c>
      <c r="T19" s="4">
        <f t="shared" ref="T19:U23" si="7">I19/P19</f>
        <v>0.29545454545454547</v>
      </c>
      <c r="U19" s="4">
        <f t="shared" si="7"/>
        <v>0.56335046870275174</v>
      </c>
      <c r="V19" s="4">
        <f t="shared" si="1"/>
        <v>0.99842022116903628</v>
      </c>
      <c r="W19" s="4">
        <f t="shared" si="2"/>
        <v>0.40971059555130351</v>
      </c>
      <c r="X19" s="4">
        <f t="shared" si="3"/>
        <v>0.79372197309417036</v>
      </c>
      <c r="Y19" s="4">
        <f t="shared" si="4"/>
        <v>3.3846153846153846</v>
      </c>
      <c r="Z19" s="4">
        <f t="shared" si="5"/>
        <v>0.70454545454545459</v>
      </c>
      <c r="AA19" s="4">
        <f t="shared" si="6"/>
        <v>0.20627802690582961</v>
      </c>
    </row>
    <row r="20" spans="1:27" x14ac:dyDescent="0.2">
      <c r="A20">
        <v>26</v>
      </c>
      <c r="B20">
        <v>1</v>
      </c>
      <c r="C20">
        <v>1114</v>
      </c>
      <c r="D20">
        <v>0</v>
      </c>
      <c r="E20">
        <v>633</v>
      </c>
      <c r="F20">
        <v>2468</v>
      </c>
      <c r="G20">
        <v>230</v>
      </c>
      <c r="H20">
        <v>632</v>
      </c>
      <c r="I20">
        <v>3</v>
      </c>
      <c r="J20">
        <v>1428</v>
      </c>
      <c r="K20">
        <v>1300</v>
      </c>
      <c r="L20">
        <v>3</v>
      </c>
      <c r="M20">
        <v>59</v>
      </c>
      <c r="O20">
        <v>4181</v>
      </c>
      <c r="P20">
        <v>51</v>
      </c>
      <c r="Q20">
        <v>1971</v>
      </c>
      <c r="R20">
        <v>1300</v>
      </c>
      <c r="T20" s="4">
        <f t="shared" si="7"/>
        <v>5.8823529411764705E-2</v>
      </c>
      <c r="U20" s="4">
        <f t="shared" si="7"/>
        <v>0.72450532724505323</v>
      </c>
      <c r="V20" s="4">
        <f t="shared" si="1"/>
        <v>0.99842022116903628</v>
      </c>
      <c r="W20" s="4">
        <f t="shared" si="2"/>
        <v>0.40971059555130351</v>
      </c>
      <c r="X20" s="4">
        <f t="shared" si="3"/>
        <v>0.79353680430879714</v>
      </c>
      <c r="Y20" s="4">
        <f t="shared" si="4"/>
        <v>17</v>
      </c>
      <c r="Z20" s="4">
        <f t="shared" si="5"/>
        <v>0.94117647058823528</v>
      </c>
      <c r="AA20" s="4">
        <f t="shared" si="6"/>
        <v>0.20646319569120286</v>
      </c>
    </row>
    <row r="21" spans="1:27" x14ac:dyDescent="0.2">
      <c r="A21">
        <v>27</v>
      </c>
      <c r="B21">
        <v>1</v>
      </c>
      <c r="C21">
        <v>1526</v>
      </c>
      <c r="D21">
        <v>0</v>
      </c>
      <c r="E21">
        <v>561</v>
      </c>
      <c r="F21">
        <v>5404</v>
      </c>
      <c r="G21">
        <v>956</v>
      </c>
      <c r="H21">
        <v>560</v>
      </c>
      <c r="I21">
        <v>9</v>
      </c>
      <c r="J21">
        <v>1239</v>
      </c>
      <c r="K21">
        <v>1092</v>
      </c>
      <c r="L21">
        <v>2</v>
      </c>
      <c r="M21">
        <v>30</v>
      </c>
      <c r="O21">
        <v>6436</v>
      </c>
      <c r="P21">
        <v>68</v>
      </c>
      <c r="Q21">
        <v>2018</v>
      </c>
      <c r="R21">
        <v>1092</v>
      </c>
      <c r="T21" s="4">
        <f t="shared" si="7"/>
        <v>0.13235294117647059</v>
      </c>
      <c r="U21" s="4">
        <f t="shared" si="7"/>
        <v>0.61397423191278488</v>
      </c>
      <c r="V21" s="4">
        <f t="shared" si="1"/>
        <v>0.99821746880570406</v>
      </c>
      <c r="W21" s="4">
        <f t="shared" si="2"/>
        <v>0.1603480422622747</v>
      </c>
      <c r="X21" s="4">
        <f t="shared" si="3"/>
        <v>0.37352555701179552</v>
      </c>
      <c r="Y21" s="4">
        <f t="shared" si="4"/>
        <v>7.5555555555555554</v>
      </c>
      <c r="Z21" s="4">
        <f t="shared" si="5"/>
        <v>0.86764705882352944</v>
      </c>
      <c r="AA21" s="4">
        <f t="shared" si="6"/>
        <v>0.62647444298820443</v>
      </c>
    </row>
    <row r="22" spans="1:27" x14ac:dyDescent="0.2">
      <c r="A22">
        <v>28</v>
      </c>
      <c r="B22">
        <v>1</v>
      </c>
      <c r="C22">
        <v>1114</v>
      </c>
      <c r="D22">
        <v>0</v>
      </c>
      <c r="E22">
        <v>633</v>
      </c>
      <c r="F22">
        <v>1759</v>
      </c>
      <c r="G22">
        <v>230</v>
      </c>
      <c r="H22">
        <v>632</v>
      </c>
      <c r="I22">
        <v>3</v>
      </c>
      <c r="J22">
        <v>814</v>
      </c>
      <c r="K22">
        <v>1300</v>
      </c>
      <c r="L22">
        <v>2</v>
      </c>
      <c r="M22">
        <v>22</v>
      </c>
      <c r="O22">
        <v>4181</v>
      </c>
      <c r="P22">
        <v>42</v>
      </c>
      <c r="Q22">
        <v>1595</v>
      </c>
      <c r="R22">
        <v>1300</v>
      </c>
      <c r="T22" s="4">
        <f t="shared" si="7"/>
        <v>7.1428571428571425E-2</v>
      </c>
      <c r="U22" s="4">
        <f t="shared" si="7"/>
        <v>0.51034482758620692</v>
      </c>
      <c r="V22" s="4">
        <f t="shared" si="1"/>
        <v>0.99842022116903628</v>
      </c>
      <c r="W22" s="4">
        <f t="shared" si="2"/>
        <v>0.57928725185362351</v>
      </c>
      <c r="X22" s="4">
        <f t="shared" si="3"/>
        <v>0.79353680430879714</v>
      </c>
      <c r="Y22" s="4">
        <f t="shared" si="4"/>
        <v>14</v>
      </c>
      <c r="Z22" s="4">
        <f t="shared" si="5"/>
        <v>0.9285714285714286</v>
      </c>
      <c r="AA22" s="4">
        <f t="shared" si="6"/>
        <v>0.20646319569120286</v>
      </c>
    </row>
    <row r="23" spans="1:27" x14ac:dyDescent="0.2">
      <c r="A23">
        <v>29</v>
      </c>
      <c r="B23">
        <v>9</v>
      </c>
      <c r="C23">
        <v>1088</v>
      </c>
      <c r="D23">
        <v>0</v>
      </c>
      <c r="E23">
        <v>657</v>
      </c>
      <c r="F23">
        <v>1302</v>
      </c>
      <c r="G23">
        <v>180</v>
      </c>
      <c r="H23">
        <v>648</v>
      </c>
      <c r="I23">
        <v>5</v>
      </c>
      <c r="J23">
        <v>456</v>
      </c>
      <c r="K23">
        <v>847</v>
      </c>
      <c r="L23">
        <v>4</v>
      </c>
      <c r="M23">
        <v>24</v>
      </c>
      <c r="O23">
        <v>3696</v>
      </c>
      <c r="P23">
        <v>36</v>
      </c>
      <c r="Q23">
        <v>29604</v>
      </c>
      <c r="R23">
        <v>43472</v>
      </c>
      <c r="T23" s="4">
        <f t="shared" si="7"/>
        <v>0.1388888888888889</v>
      </c>
      <c r="U23" s="4">
        <f t="shared" si="7"/>
        <v>1.5403323875152006E-2</v>
      </c>
      <c r="V23" s="4">
        <f t="shared" si="1"/>
        <v>0.98630136986301364</v>
      </c>
      <c r="W23" s="4">
        <f t="shared" si="2"/>
        <v>0.64772727272727271</v>
      </c>
      <c r="X23" s="4">
        <f t="shared" si="3"/>
        <v>0.8345588235294118</v>
      </c>
      <c r="Y23" s="4">
        <f t="shared" si="4"/>
        <v>7.2</v>
      </c>
      <c r="Z23" s="4">
        <f t="shared" si="5"/>
        <v>0.86111111111111116</v>
      </c>
      <c r="AA23" s="4">
        <f t="shared" si="6"/>
        <v>0.16544117647058823</v>
      </c>
    </row>
    <row r="24" spans="1:27" x14ac:dyDescent="0.2">
      <c r="A24" t="s">
        <v>13</v>
      </c>
      <c r="B24">
        <v>17</v>
      </c>
      <c r="C24">
        <v>1088</v>
      </c>
      <c r="D24">
        <v>0</v>
      </c>
      <c r="E24">
        <v>657</v>
      </c>
      <c r="F24">
        <v>1866</v>
      </c>
      <c r="G24">
        <v>180</v>
      </c>
      <c r="H24">
        <v>640</v>
      </c>
      <c r="I24">
        <v>39</v>
      </c>
      <c r="J24">
        <v>630</v>
      </c>
      <c r="K24">
        <v>454</v>
      </c>
      <c r="L24">
        <v>16</v>
      </c>
      <c r="M24">
        <v>116</v>
      </c>
      <c r="T24" s="4"/>
      <c r="U24" s="4"/>
      <c r="V24" s="4"/>
      <c r="W24" s="4"/>
      <c r="X24" s="4"/>
      <c r="Y24" s="4"/>
      <c r="Z24" s="4"/>
      <c r="AA24" s="4"/>
    </row>
    <row r="25" spans="1:27" x14ac:dyDescent="0.2">
      <c r="T25" s="4"/>
      <c r="U25" s="4"/>
      <c r="V25" s="4"/>
      <c r="W25" s="4"/>
      <c r="X25" s="4"/>
      <c r="Y25" s="4"/>
      <c r="Z25" s="4"/>
      <c r="AA25" s="4"/>
    </row>
    <row r="26" spans="1:27" x14ac:dyDescent="0.2"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t="s">
        <v>25</v>
      </c>
      <c r="B27" s="4">
        <f t="shared" ref="B27:W27" si="8">AVERAGE(B2:B23)</f>
        <v>2.4545454545454546</v>
      </c>
      <c r="C27" s="4">
        <f t="shared" si="8"/>
        <v>1175.7272727272727</v>
      </c>
      <c r="D27" s="4">
        <f t="shared" si="8"/>
        <v>0</v>
      </c>
      <c r="E27" s="4">
        <f t="shared" si="8"/>
        <v>622.81818181818187</v>
      </c>
      <c r="F27" s="4">
        <f t="shared" si="8"/>
        <v>2664.7727272727275</v>
      </c>
      <c r="G27" s="4">
        <f t="shared" si="8"/>
        <v>334.95454545454544</v>
      </c>
      <c r="H27" s="4">
        <f t="shared" si="8"/>
        <v>595.90909090909088</v>
      </c>
      <c r="I27" s="4">
        <f t="shared" si="8"/>
        <v>4.0454545454545459</v>
      </c>
      <c r="J27" s="4">
        <f t="shared" si="8"/>
        <v>5868.136363636364</v>
      </c>
      <c r="K27" s="4">
        <f t="shared" si="8"/>
        <v>5265.636363636364</v>
      </c>
      <c r="L27" s="4">
        <f t="shared" si="8"/>
        <v>3.0909090909090908</v>
      </c>
      <c r="M27" s="4">
        <f t="shared" si="8"/>
        <v>51.727272727272727</v>
      </c>
      <c r="N27" s="4"/>
      <c r="O27" s="4">
        <f t="shared" si="8"/>
        <v>4483.590909090909</v>
      </c>
      <c r="P27" s="4">
        <f t="shared" si="8"/>
        <v>45.18181818181818</v>
      </c>
      <c r="Q27" s="4">
        <f t="shared" si="8"/>
        <v>39743.772727272728</v>
      </c>
      <c r="R27" s="4">
        <f t="shared" si="8"/>
        <v>41023.272727272728</v>
      </c>
      <c r="S27" s="4"/>
      <c r="T27" s="4">
        <f t="shared" si="8"/>
        <v>8.8696539320666651E-2</v>
      </c>
      <c r="U27" s="4">
        <f t="shared" si="8"/>
        <v>0.37956785238053309</v>
      </c>
      <c r="V27" s="4">
        <f t="shared" si="8"/>
        <v>0.95233764096941509</v>
      </c>
      <c r="W27" s="4">
        <f t="shared" si="8"/>
        <v>0.43722841111840743</v>
      </c>
      <c r="X27" s="4">
        <f>AVERAGE(X2:X23)</f>
        <v>0.73579842212605717</v>
      </c>
      <c r="Y27" s="6">
        <f>AVERAGE(Y2:Y23)</f>
        <v>20.362336519689457</v>
      </c>
      <c r="Z27" s="4">
        <f>AVERAGE(Z2:Z23)</f>
        <v>0.91130346067933343</v>
      </c>
      <c r="AA27" s="4">
        <f>AVERAGE(AA2:AA23)</f>
        <v>0.26420157787394283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B7" sqref="B7:R7"/>
    </sheetView>
  </sheetViews>
  <sheetFormatPr baseColWidth="10" defaultRowHeight="16" x14ac:dyDescent="0.2"/>
  <cols>
    <col min="1" max="1" width="9.83203125" bestFit="1" customWidth="1"/>
    <col min="2" max="2" width="13.5" bestFit="1" customWidth="1"/>
    <col min="3" max="3" width="10.6640625" bestFit="1" customWidth="1"/>
    <col min="4" max="4" width="13.1640625" bestFit="1" customWidth="1"/>
    <col min="10" max="10" width="13" bestFit="1" customWidth="1"/>
    <col min="11" max="11" width="11.6640625" bestFit="1" customWidth="1"/>
    <col min="13" max="13" width="13" bestFit="1" customWidth="1"/>
    <col min="14" max="14" width="3.5" style="2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9</v>
      </c>
      <c r="M1" s="1" t="s">
        <v>10</v>
      </c>
      <c r="O1" s="1" t="s">
        <v>12</v>
      </c>
      <c r="P1" s="1" t="s">
        <v>7</v>
      </c>
      <c r="Q1" s="1" t="s">
        <v>8</v>
      </c>
      <c r="R1" s="1" t="s">
        <v>11</v>
      </c>
    </row>
    <row r="2" spans="1:18" x14ac:dyDescent="0.2">
      <c r="A2">
        <v>0</v>
      </c>
      <c r="B2">
        <v>7</v>
      </c>
      <c r="C2">
        <v>1088</v>
      </c>
      <c r="D2">
        <v>0</v>
      </c>
      <c r="E2">
        <v>635</v>
      </c>
      <c r="F2">
        <v>1858</v>
      </c>
      <c r="G2">
        <v>180</v>
      </c>
      <c r="H2">
        <v>628</v>
      </c>
      <c r="I2">
        <v>2</v>
      </c>
      <c r="J2">
        <v>22106</v>
      </c>
      <c r="K2">
        <v>36500</v>
      </c>
      <c r="L2">
        <v>6</v>
      </c>
      <c r="M2">
        <v>42</v>
      </c>
      <c r="O2" s="3">
        <v>3700</v>
      </c>
      <c r="P2" s="3"/>
      <c r="Q2" s="3"/>
      <c r="R2" s="3"/>
    </row>
    <row r="3" spans="1:18" x14ac:dyDescent="0.2">
      <c r="A3">
        <v>1</v>
      </c>
      <c r="B3">
        <v>1</v>
      </c>
      <c r="C3">
        <v>1114</v>
      </c>
      <c r="D3">
        <v>0</v>
      </c>
      <c r="E3">
        <v>633</v>
      </c>
      <c r="F3">
        <v>2483</v>
      </c>
      <c r="G3">
        <v>230</v>
      </c>
      <c r="H3">
        <v>632</v>
      </c>
      <c r="I3">
        <v>1</v>
      </c>
      <c r="J3">
        <v>2590</v>
      </c>
      <c r="K3">
        <v>2310</v>
      </c>
      <c r="L3">
        <v>3</v>
      </c>
      <c r="M3">
        <v>58</v>
      </c>
      <c r="O3">
        <v>4194</v>
      </c>
      <c r="P3">
        <v>38</v>
      </c>
      <c r="Q3">
        <v>2967</v>
      </c>
      <c r="R3">
        <v>2310</v>
      </c>
    </row>
    <row r="4" spans="1:18" x14ac:dyDescent="0.2">
      <c r="A4">
        <v>2</v>
      </c>
      <c r="B4">
        <v>1</v>
      </c>
      <c r="C4">
        <v>1088</v>
      </c>
      <c r="D4">
        <v>0</v>
      </c>
      <c r="E4">
        <v>631</v>
      </c>
      <c r="F4">
        <v>1866</v>
      </c>
      <c r="G4">
        <v>180</v>
      </c>
      <c r="H4">
        <v>630</v>
      </c>
      <c r="I4">
        <v>3</v>
      </c>
      <c r="J4">
        <v>8428</v>
      </c>
      <c r="K4">
        <v>5320</v>
      </c>
      <c r="L4">
        <v>5</v>
      </c>
      <c r="M4">
        <v>44</v>
      </c>
      <c r="O4" s="3">
        <v>3728</v>
      </c>
      <c r="P4" s="3"/>
      <c r="Q4" s="3"/>
      <c r="R4" s="3"/>
    </row>
    <row r="5" spans="1:18" x14ac:dyDescent="0.2">
      <c r="A5">
        <v>3</v>
      </c>
      <c r="B5">
        <v>1</v>
      </c>
      <c r="C5">
        <v>1132</v>
      </c>
      <c r="D5">
        <v>0</v>
      </c>
      <c r="E5">
        <v>629</v>
      </c>
      <c r="F5">
        <v>3027</v>
      </c>
      <c r="G5">
        <v>276</v>
      </c>
      <c r="H5">
        <v>628</v>
      </c>
      <c r="I5">
        <v>2</v>
      </c>
      <c r="J5">
        <v>11716</v>
      </c>
      <c r="K5">
        <v>6864</v>
      </c>
      <c r="L5">
        <v>4</v>
      </c>
      <c r="M5">
        <v>85</v>
      </c>
      <c r="O5">
        <v>4436</v>
      </c>
      <c r="P5">
        <v>44</v>
      </c>
      <c r="Q5">
        <v>9643</v>
      </c>
      <c r="R5">
        <v>6864</v>
      </c>
    </row>
    <row r="6" spans="1:18" x14ac:dyDescent="0.2">
      <c r="A6" s="5">
        <v>4</v>
      </c>
      <c r="B6">
        <v>1</v>
      </c>
      <c r="C6">
        <v>1814</v>
      </c>
      <c r="D6">
        <v>0</v>
      </c>
      <c r="E6">
        <v>517</v>
      </c>
      <c r="F6">
        <v>9142</v>
      </c>
      <c r="G6">
        <v>1288</v>
      </c>
      <c r="H6">
        <v>516</v>
      </c>
      <c r="I6">
        <v>4</v>
      </c>
      <c r="J6">
        <v>14753</v>
      </c>
      <c r="K6">
        <v>7332</v>
      </c>
      <c r="L6">
        <v>4</v>
      </c>
      <c r="M6">
        <v>194</v>
      </c>
      <c r="O6">
        <v>8529</v>
      </c>
      <c r="P6">
        <v>109</v>
      </c>
      <c r="Q6">
        <v>18368</v>
      </c>
      <c r="R6">
        <v>7332</v>
      </c>
    </row>
    <row r="7" spans="1:18" x14ac:dyDescent="0.2">
      <c r="A7">
        <v>5</v>
      </c>
      <c r="B7">
        <v>2</v>
      </c>
      <c r="C7">
        <v>1149</v>
      </c>
      <c r="D7">
        <v>0</v>
      </c>
      <c r="E7">
        <v>634</v>
      </c>
      <c r="F7">
        <v>1757</v>
      </c>
      <c r="G7">
        <v>230</v>
      </c>
      <c r="H7">
        <v>632</v>
      </c>
      <c r="I7">
        <v>3</v>
      </c>
      <c r="J7">
        <v>1534</v>
      </c>
      <c r="K7">
        <v>2764</v>
      </c>
      <c r="L7">
        <v>2</v>
      </c>
      <c r="M7">
        <v>19</v>
      </c>
      <c r="O7">
        <v>4247</v>
      </c>
      <c r="P7">
        <v>40</v>
      </c>
      <c r="Q7">
        <v>77696</v>
      </c>
      <c r="R7">
        <v>98280</v>
      </c>
    </row>
    <row r="8" spans="1:18" x14ac:dyDescent="0.2">
      <c r="A8">
        <v>6</v>
      </c>
      <c r="B8">
        <v>12</v>
      </c>
      <c r="C8">
        <v>1011</v>
      </c>
      <c r="D8">
        <v>0</v>
      </c>
      <c r="E8">
        <v>582</v>
      </c>
      <c r="F8">
        <v>2227</v>
      </c>
      <c r="G8">
        <v>210</v>
      </c>
      <c r="H8">
        <v>10</v>
      </c>
      <c r="I8">
        <v>13</v>
      </c>
      <c r="J8">
        <v>2184</v>
      </c>
      <c r="K8">
        <v>1441</v>
      </c>
      <c r="L8">
        <v>3</v>
      </c>
      <c r="M8">
        <v>58</v>
      </c>
      <c r="O8">
        <v>3741</v>
      </c>
      <c r="P8">
        <v>34</v>
      </c>
      <c r="Q8">
        <v>1871</v>
      </c>
      <c r="R8">
        <v>1430</v>
      </c>
    </row>
    <row r="9" spans="1:18" x14ac:dyDescent="0.2">
      <c r="A9">
        <v>7</v>
      </c>
      <c r="B9">
        <v>7</v>
      </c>
      <c r="C9">
        <v>1088</v>
      </c>
      <c r="D9">
        <v>0</v>
      </c>
      <c r="E9">
        <v>635</v>
      </c>
      <c r="F9">
        <v>1858</v>
      </c>
      <c r="G9">
        <v>180</v>
      </c>
      <c r="H9">
        <v>628</v>
      </c>
      <c r="I9">
        <v>4</v>
      </c>
      <c r="J9">
        <v>20543</v>
      </c>
      <c r="K9">
        <v>36509</v>
      </c>
      <c r="L9">
        <v>3</v>
      </c>
      <c r="M9">
        <v>49</v>
      </c>
      <c r="O9" s="3">
        <v>3714</v>
      </c>
      <c r="P9" s="3"/>
      <c r="Q9" s="3"/>
      <c r="R9" s="3"/>
    </row>
    <row r="10" spans="1:18" x14ac:dyDescent="0.2">
      <c r="A10">
        <v>8</v>
      </c>
      <c r="B10">
        <v>1</v>
      </c>
      <c r="C10">
        <v>1114</v>
      </c>
      <c r="D10">
        <v>0</v>
      </c>
      <c r="E10">
        <v>633</v>
      </c>
      <c r="F10">
        <v>2468</v>
      </c>
      <c r="G10">
        <v>230</v>
      </c>
      <c r="H10">
        <v>632</v>
      </c>
      <c r="I10">
        <v>3</v>
      </c>
      <c r="J10">
        <v>1460</v>
      </c>
      <c r="K10">
        <v>1300</v>
      </c>
      <c r="L10">
        <v>3</v>
      </c>
      <c r="M10">
        <v>58</v>
      </c>
      <c r="O10">
        <v>4180</v>
      </c>
      <c r="P10">
        <v>35</v>
      </c>
      <c r="Q10">
        <v>1920</v>
      </c>
      <c r="R10">
        <v>1300</v>
      </c>
    </row>
    <row r="11" spans="1:18" x14ac:dyDescent="0.2">
      <c r="A11" s="5">
        <v>9</v>
      </c>
      <c r="B11">
        <v>1</v>
      </c>
      <c r="C11">
        <v>1142</v>
      </c>
      <c r="D11">
        <v>0</v>
      </c>
      <c r="E11">
        <v>609</v>
      </c>
      <c r="F11">
        <v>2944</v>
      </c>
      <c r="G11">
        <v>282</v>
      </c>
      <c r="H11">
        <v>608</v>
      </c>
      <c r="I11">
        <v>1</v>
      </c>
      <c r="J11">
        <v>17323</v>
      </c>
      <c r="K11">
        <v>17136</v>
      </c>
      <c r="L11">
        <v>3</v>
      </c>
      <c r="M11">
        <v>50</v>
      </c>
      <c r="O11">
        <v>4635</v>
      </c>
      <c r="P11">
        <v>37</v>
      </c>
      <c r="Q11">
        <v>21413</v>
      </c>
      <c r="R11">
        <v>17136</v>
      </c>
    </row>
    <row r="12" spans="1:18" x14ac:dyDescent="0.2">
      <c r="A12" s="3">
        <v>10</v>
      </c>
      <c r="B12" s="3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>
        <v>8307</v>
      </c>
      <c r="P12" s="3"/>
      <c r="Q12" s="3"/>
      <c r="R12" s="3"/>
    </row>
    <row r="13" spans="1:18" x14ac:dyDescent="0.2">
      <c r="A13">
        <v>11</v>
      </c>
      <c r="B13">
        <v>2</v>
      </c>
      <c r="C13">
        <v>1105</v>
      </c>
      <c r="D13">
        <v>0</v>
      </c>
      <c r="E13">
        <v>653</v>
      </c>
      <c r="F13">
        <v>2388</v>
      </c>
      <c r="G13">
        <v>225</v>
      </c>
      <c r="H13">
        <v>651</v>
      </c>
      <c r="I13">
        <v>3</v>
      </c>
      <c r="J13">
        <v>2172</v>
      </c>
      <c r="K13">
        <v>1442</v>
      </c>
      <c r="L13">
        <v>4</v>
      </c>
      <c r="M13">
        <v>64</v>
      </c>
      <c r="O13">
        <v>3972</v>
      </c>
      <c r="P13">
        <v>33</v>
      </c>
      <c r="Q13">
        <v>21032</v>
      </c>
      <c r="R13">
        <v>17160</v>
      </c>
    </row>
    <row r="14" spans="1:18" x14ac:dyDescent="0.2">
      <c r="A14">
        <v>12</v>
      </c>
      <c r="B14">
        <v>3</v>
      </c>
      <c r="C14">
        <v>1088</v>
      </c>
      <c r="D14">
        <v>0</v>
      </c>
      <c r="E14">
        <v>631</v>
      </c>
      <c r="F14">
        <v>1866</v>
      </c>
      <c r="G14">
        <v>180</v>
      </c>
      <c r="H14">
        <v>628</v>
      </c>
      <c r="I14">
        <v>2</v>
      </c>
      <c r="J14">
        <v>5982</v>
      </c>
      <c r="K14">
        <v>5324</v>
      </c>
      <c r="L14">
        <v>3</v>
      </c>
      <c r="M14">
        <v>47</v>
      </c>
      <c r="O14" s="3">
        <v>3678</v>
      </c>
      <c r="P14" s="3"/>
      <c r="Q14" s="3"/>
      <c r="R14" s="3"/>
    </row>
    <row r="15" spans="1:18" x14ac:dyDescent="0.2">
      <c r="A15">
        <v>13</v>
      </c>
      <c r="B15">
        <v>1</v>
      </c>
      <c r="C15">
        <v>1814</v>
      </c>
      <c r="D15">
        <v>0</v>
      </c>
      <c r="E15">
        <v>517</v>
      </c>
      <c r="F15">
        <v>9181</v>
      </c>
      <c r="G15">
        <v>1288</v>
      </c>
      <c r="H15">
        <v>516</v>
      </c>
      <c r="I15">
        <v>13</v>
      </c>
      <c r="J15">
        <v>84773</v>
      </c>
      <c r="K15">
        <v>26656</v>
      </c>
      <c r="L15">
        <v>9</v>
      </c>
      <c r="M15">
        <v>344</v>
      </c>
      <c r="O15">
        <v>8365</v>
      </c>
      <c r="P15">
        <v>61</v>
      </c>
      <c r="Q15">
        <v>63217</v>
      </c>
      <c r="R15">
        <v>26656</v>
      </c>
    </row>
    <row r="16" spans="1:18" x14ac:dyDescent="0.2">
      <c r="A16">
        <v>14</v>
      </c>
      <c r="B16">
        <v>2</v>
      </c>
      <c r="C16">
        <v>1702</v>
      </c>
      <c r="D16">
        <v>0</v>
      </c>
      <c r="E16">
        <v>540</v>
      </c>
      <c r="F16">
        <v>8164</v>
      </c>
      <c r="G16">
        <v>1119</v>
      </c>
      <c r="H16">
        <v>538</v>
      </c>
      <c r="I16">
        <v>17</v>
      </c>
      <c r="J16">
        <v>8166</v>
      </c>
      <c r="K16">
        <v>2345</v>
      </c>
      <c r="L16">
        <v>6</v>
      </c>
      <c r="M16">
        <v>285</v>
      </c>
      <c r="O16">
        <v>7635</v>
      </c>
      <c r="P16">
        <v>71</v>
      </c>
      <c r="Q16">
        <v>173500</v>
      </c>
      <c r="R16">
        <v>80850</v>
      </c>
    </row>
    <row r="17" spans="1:18" x14ac:dyDescent="0.2">
      <c r="A17">
        <v>15</v>
      </c>
      <c r="B17">
        <v>3</v>
      </c>
      <c r="C17">
        <v>1088</v>
      </c>
      <c r="D17">
        <v>0</v>
      </c>
      <c r="E17">
        <v>657</v>
      </c>
      <c r="F17">
        <v>1834</v>
      </c>
      <c r="G17">
        <v>180</v>
      </c>
      <c r="H17">
        <v>654</v>
      </c>
      <c r="I17">
        <v>2</v>
      </c>
      <c r="J17">
        <v>647</v>
      </c>
      <c r="K17">
        <v>850</v>
      </c>
      <c r="L17">
        <v>3</v>
      </c>
      <c r="M17">
        <v>42</v>
      </c>
      <c r="O17">
        <v>3728</v>
      </c>
      <c r="P17">
        <v>38</v>
      </c>
      <c r="Q17">
        <v>12581</v>
      </c>
      <c r="R17">
        <v>10868</v>
      </c>
    </row>
    <row r="18" spans="1:18" x14ac:dyDescent="0.2">
      <c r="A18">
        <v>16</v>
      </c>
      <c r="B18">
        <v>1</v>
      </c>
      <c r="C18">
        <v>1667</v>
      </c>
      <c r="D18">
        <v>0</v>
      </c>
      <c r="E18">
        <v>539</v>
      </c>
      <c r="F18">
        <v>8142</v>
      </c>
      <c r="G18">
        <v>1119</v>
      </c>
      <c r="H18">
        <v>538</v>
      </c>
      <c r="I18">
        <v>7</v>
      </c>
      <c r="J18">
        <v>59174</v>
      </c>
      <c r="K18">
        <v>12376</v>
      </c>
      <c r="L18">
        <v>7</v>
      </c>
      <c r="M18">
        <v>274</v>
      </c>
      <c r="O18">
        <v>7524</v>
      </c>
      <c r="P18">
        <v>80</v>
      </c>
      <c r="Q18">
        <v>34199</v>
      </c>
      <c r="R18">
        <v>12376</v>
      </c>
    </row>
    <row r="19" spans="1:18" x14ac:dyDescent="0.2">
      <c r="A19">
        <v>17</v>
      </c>
      <c r="B19">
        <v>1</v>
      </c>
      <c r="C19">
        <v>2090</v>
      </c>
      <c r="D19">
        <v>0</v>
      </c>
      <c r="E19">
        <v>537</v>
      </c>
      <c r="F19">
        <v>12066</v>
      </c>
      <c r="G19">
        <v>1546</v>
      </c>
      <c r="H19">
        <v>536</v>
      </c>
      <c r="I19">
        <v>10</v>
      </c>
      <c r="J19">
        <v>63106</v>
      </c>
      <c r="K19">
        <v>12376</v>
      </c>
      <c r="L19">
        <v>9</v>
      </c>
      <c r="M19">
        <v>512</v>
      </c>
      <c r="O19">
        <v>11115</v>
      </c>
      <c r="P19">
        <v>73</v>
      </c>
      <c r="Q19">
        <v>34696</v>
      </c>
      <c r="R19">
        <v>12376</v>
      </c>
    </row>
    <row r="20" spans="1:18" x14ac:dyDescent="0.2">
      <c r="A20">
        <v>18</v>
      </c>
      <c r="B20">
        <v>14</v>
      </c>
      <c r="C20">
        <v>1162</v>
      </c>
      <c r="D20">
        <v>0</v>
      </c>
      <c r="E20">
        <v>495</v>
      </c>
      <c r="F20">
        <v>5093</v>
      </c>
      <c r="G20">
        <v>414</v>
      </c>
      <c r="H20">
        <v>9</v>
      </c>
      <c r="I20">
        <v>10</v>
      </c>
      <c r="J20">
        <v>13074604</v>
      </c>
      <c r="K20">
        <v>414895</v>
      </c>
      <c r="L20">
        <v>5</v>
      </c>
      <c r="M20">
        <v>181</v>
      </c>
      <c r="O20" s="3">
        <v>5815</v>
      </c>
      <c r="P20" s="3"/>
      <c r="Q20" s="3"/>
      <c r="R20" s="3"/>
    </row>
    <row r="21" spans="1:18" x14ac:dyDescent="0.2">
      <c r="A21">
        <v>19</v>
      </c>
      <c r="B21">
        <v>2</v>
      </c>
      <c r="C21">
        <v>1114</v>
      </c>
      <c r="D21">
        <v>0</v>
      </c>
      <c r="E21">
        <v>633</v>
      </c>
      <c r="F21">
        <v>2483</v>
      </c>
      <c r="G21">
        <v>230</v>
      </c>
      <c r="H21">
        <v>631</v>
      </c>
      <c r="I21">
        <v>3</v>
      </c>
      <c r="J21">
        <v>3482</v>
      </c>
      <c r="K21">
        <v>2312</v>
      </c>
      <c r="L21">
        <v>8</v>
      </c>
      <c r="M21">
        <v>75</v>
      </c>
      <c r="O21">
        <v>4168</v>
      </c>
      <c r="P21">
        <v>46</v>
      </c>
      <c r="Q21">
        <v>6192</v>
      </c>
      <c r="R21">
        <v>4620</v>
      </c>
    </row>
    <row r="22" spans="1:18" x14ac:dyDescent="0.2">
      <c r="A22">
        <v>20</v>
      </c>
      <c r="B22">
        <v>1</v>
      </c>
      <c r="C22">
        <v>1526</v>
      </c>
      <c r="D22">
        <v>0</v>
      </c>
      <c r="E22">
        <v>561</v>
      </c>
      <c r="F22">
        <v>6561</v>
      </c>
      <c r="G22">
        <v>956</v>
      </c>
      <c r="H22">
        <v>560</v>
      </c>
      <c r="I22">
        <v>4</v>
      </c>
      <c r="J22">
        <v>10382</v>
      </c>
      <c r="K22">
        <v>5280</v>
      </c>
      <c r="L22">
        <v>3</v>
      </c>
      <c r="M22">
        <v>181</v>
      </c>
      <c r="O22">
        <v>6222</v>
      </c>
      <c r="P22">
        <v>65</v>
      </c>
      <c r="Q22">
        <v>9917</v>
      </c>
      <c r="R22">
        <v>5280</v>
      </c>
    </row>
    <row r="23" spans="1:18" x14ac:dyDescent="0.2">
      <c r="A23">
        <v>21</v>
      </c>
      <c r="B23">
        <v>1</v>
      </c>
      <c r="C23">
        <v>1105</v>
      </c>
      <c r="D23">
        <v>0</v>
      </c>
      <c r="E23">
        <v>653</v>
      </c>
      <c r="F23">
        <v>2388</v>
      </c>
      <c r="G23">
        <v>225</v>
      </c>
      <c r="H23">
        <v>652</v>
      </c>
      <c r="I23">
        <v>3</v>
      </c>
      <c r="J23">
        <v>2084</v>
      </c>
      <c r="K23">
        <v>1430</v>
      </c>
      <c r="L23">
        <v>3</v>
      </c>
      <c r="M23">
        <v>62</v>
      </c>
      <c r="O23">
        <v>3987</v>
      </c>
      <c r="P23">
        <v>42</v>
      </c>
      <c r="Q23">
        <v>1982</v>
      </c>
      <c r="R23">
        <v>1430</v>
      </c>
    </row>
    <row r="24" spans="1:18" x14ac:dyDescent="0.2">
      <c r="A24">
        <v>22</v>
      </c>
      <c r="B24">
        <v>1</v>
      </c>
      <c r="C24">
        <v>1088</v>
      </c>
      <c r="D24">
        <v>0</v>
      </c>
      <c r="E24">
        <v>657</v>
      </c>
      <c r="F24">
        <v>1834</v>
      </c>
      <c r="G24">
        <v>180</v>
      </c>
      <c r="H24">
        <v>656</v>
      </c>
      <c r="I24">
        <v>2</v>
      </c>
      <c r="J24">
        <v>578</v>
      </c>
      <c r="K24">
        <v>836</v>
      </c>
      <c r="L24">
        <v>3</v>
      </c>
      <c r="M24">
        <v>40</v>
      </c>
      <c r="O24">
        <v>3742</v>
      </c>
      <c r="P24">
        <v>33</v>
      </c>
      <c r="Q24">
        <v>1168</v>
      </c>
      <c r="R24">
        <v>836</v>
      </c>
    </row>
    <row r="25" spans="1:18" x14ac:dyDescent="0.2">
      <c r="A25">
        <v>23</v>
      </c>
      <c r="B25">
        <v>2</v>
      </c>
      <c r="C25">
        <v>1114</v>
      </c>
      <c r="D25">
        <v>0</v>
      </c>
      <c r="E25">
        <v>633</v>
      </c>
      <c r="F25">
        <v>2528</v>
      </c>
      <c r="G25">
        <v>230</v>
      </c>
      <c r="H25">
        <v>631</v>
      </c>
      <c r="I25">
        <v>4</v>
      </c>
      <c r="J25">
        <v>2046</v>
      </c>
      <c r="K25">
        <v>1312</v>
      </c>
      <c r="L25">
        <v>3</v>
      </c>
      <c r="M25">
        <v>64</v>
      </c>
      <c r="O25">
        <v>4200</v>
      </c>
      <c r="P25">
        <v>39</v>
      </c>
      <c r="Q25">
        <v>18669</v>
      </c>
      <c r="R25">
        <v>15600</v>
      </c>
    </row>
    <row r="26" spans="1:18" x14ac:dyDescent="0.2">
      <c r="A26">
        <v>24</v>
      </c>
      <c r="B26">
        <v>1</v>
      </c>
      <c r="C26">
        <v>1114</v>
      </c>
      <c r="D26">
        <v>0</v>
      </c>
      <c r="E26">
        <v>633</v>
      </c>
      <c r="F26">
        <v>2483</v>
      </c>
      <c r="G26">
        <v>230</v>
      </c>
      <c r="H26">
        <v>632</v>
      </c>
      <c r="I26">
        <v>2</v>
      </c>
      <c r="J26">
        <v>2312</v>
      </c>
      <c r="K26">
        <v>2310</v>
      </c>
      <c r="L26">
        <v>4</v>
      </c>
      <c r="M26">
        <v>54</v>
      </c>
      <c r="O26">
        <v>4194</v>
      </c>
      <c r="P26">
        <v>42</v>
      </c>
      <c r="Q26">
        <v>3113</v>
      </c>
      <c r="R26">
        <v>2310</v>
      </c>
    </row>
    <row r="27" spans="1:18" x14ac:dyDescent="0.2">
      <c r="A27">
        <v>25</v>
      </c>
      <c r="B27">
        <v>1</v>
      </c>
      <c r="C27">
        <v>1115</v>
      </c>
      <c r="D27">
        <v>0</v>
      </c>
      <c r="E27">
        <v>633</v>
      </c>
      <c r="F27">
        <v>2468</v>
      </c>
      <c r="G27">
        <v>230</v>
      </c>
      <c r="H27">
        <v>632</v>
      </c>
      <c r="I27">
        <v>13</v>
      </c>
      <c r="J27">
        <v>1863</v>
      </c>
      <c r="K27">
        <v>1300</v>
      </c>
      <c r="L27">
        <v>3</v>
      </c>
      <c r="M27">
        <v>70</v>
      </c>
      <c r="O27">
        <v>4181</v>
      </c>
      <c r="P27">
        <v>44</v>
      </c>
      <c r="Q27">
        <v>3307</v>
      </c>
      <c r="R27">
        <v>2600</v>
      </c>
    </row>
    <row r="28" spans="1:18" x14ac:dyDescent="0.2">
      <c r="A28">
        <v>26</v>
      </c>
      <c r="B28">
        <v>1</v>
      </c>
      <c r="C28">
        <v>1114</v>
      </c>
      <c r="D28">
        <v>0</v>
      </c>
      <c r="E28">
        <v>633</v>
      </c>
      <c r="F28">
        <v>2468</v>
      </c>
      <c r="G28">
        <v>230</v>
      </c>
      <c r="H28">
        <v>632</v>
      </c>
      <c r="I28">
        <v>3</v>
      </c>
      <c r="J28">
        <v>1428</v>
      </c>
      <c r="K28">
        <v>1300</v>
      </c>
      <c r="L28">
        <v>3</v>
      </c>
      <c r="M28">
        <v>59</v>
      </c>
      <c r="O28">
        <v>4181</v>
      </c>
      <c r="P28">
        <v>51</v>
      </c>
      <c r="Q28">
        <v>1971</v>
      </c>
      <c r="R28">
        <v>1300</v>
      </c>
    </row>
    <row r="29" spans="1:18" x14ac:dyDescent="0.2">
      <c r="A29">
        <v>27</v>
      </c>
      <c r="B29">
        <v>1</v>
      </c>
      <c r="C29">
        <v>1526</v>
      </c>
      <c r="D29">
        <v>0</v>
      </c>
      <c r="E29">
        <v>561</v>
      </c>
      <c r="F29">
        <v>6768</v>
      </c>
      <c r="G29">
        <v>956</v>
      </c>
      <c r="H29">
        <v>560</v>
      </c>
      <c r="I29">
        <v>9</v>
      </c>
      <c r="J29">
        <v>3193</v>
      </c>
      <c r="K29">
        <v>1092</v>
      </c>
      <c r="L29">
        <v>6</v>
      </c>
      <c r="M29">
        <v>181</v>
      </c>
      <c r="O29">
        <v>6436</v>
      </c>
      <c r="P29">
        <v>68</v>
      </c>
      <c r="Q29">
        <v>2432</v>
      </c>
      <c r="R29">
        <v>1092</v>
      </c>
    </row>
    <row r="30" spans="1:18" x14ac:dyDescent="0.2">
      <c r="A30">
        <v>28</v>
      </c>
      <c r="B30">
        <v>1</v>
      </c>
      <c r="C30">
        <v>1114</v>
      </c>
      <c r="D30">
        <v>0</v>
      </c>
      <c r="E30">
        <v>633</v>
      </c>
      <c r="F30">
        <v>2468</v>
      </c>
      <c r="G30">
        <v>230</v>
      </c>
      <c r="H30">
        <v>632</v>
      </c>
      <c r="I30">
        <v>3</v>
      </c>
      <c r="J30">
        <v>1815</v>
      </c>
      <c r="K30">
        <v>1300</v>
      </c>
      <c r="L30">
        <v>4</v>
      </c>
      <c r="M30">
        <v>68</v>
      </c>
      <c r="O30">
        <v>4181</v>
      </c>
      <c r="P30">
        <v>42</v>
      </c>
      <c r="Q30">
        <v>1927</v>
      </c>
      <c r="R30">
        <v>1300</v>
      </c>
    </row>
    <row r="31" spans="1:18" x14ac:dyDescent="0.2">
      <c r="A31">
        <v>29</v>
      </c>
      <c r="B31">
        <v>13</v>
      </c>
      <c r="C31">
        <v>1037</v>
      </c>
      <c r="D31">
        <v>0</v>
      </c>
      <c r="E31">
        <v>560</v>
      </c>
      <c r="F31">
        <v>2811</v>
      </c>
      <c r="G31">
        <v>258</v>
      </c>
      <c r="H31">
        <v>9</v>
      </c>
      <c r="I31">
        <v>9</v>
      </c>
      <c r="J31">
        <v>6944</v>
      </c>
      <c r="K31">
        <v>4744</v>
      </c>
      <c r="L31">
        <v>4</v>
      </c>
      <c r="M31">
        <v>67</v>
      </c>
      <c r="O31">
        <v>4150</v>
      </c>
      <c r="P31">
        <v>36</v>
      </c>
      <c r="Q31">
        <v>5973</v>
      </c>
      <c r="R31">
        <v>4732</v>
      </c>
    </row>
    <row r="32" spans="1:18" x14ac:dyDescent="0.2">
      <c r="A32" t="s">
        <v>13</v>
      </c>
      <c r="B32">
        <v>17</v>
      </c>
      <c r="C32">
        <v>1088</v>
      </c>
      <c r="D32">
        <v>0</v>
      </c>
      <c r="E32">
        <v>657</v>
      </c>
      <c r="F32">
        <v>1318</v>
      </c>
      <c r="G32">
        <v>180</v>
      </c>
      <c r="H32">
        <v>640</v>
      </c>
      <c r="I32">
        <v>39</v>
      </c>
      <c r="J32">
        <v>630</v>
      </c>
      <c r="K32">
        <v>440</v>
      </c>
      <c r="L32">
        <v>16</v>
      </c>
      <c r="M32">
        <v>116</v>
      </c>
    </row>
  </sheetData>
  <sortState ref="A2:M32">
    <sortCondition ref="A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wordpress_paired_res (2)</vt:lpstr>
      <vt:lpstr>wordpress_paired_res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2017-05-06T00:53:30Z</dcterms:created>
  <dcterms:modified xsi:type="dcterms:W3CDTF">2017-05-10T12:19:15Z</dcterms:modified>
</cp:coreProperties>
</file>