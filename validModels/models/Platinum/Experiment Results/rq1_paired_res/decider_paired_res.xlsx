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"/>
    </mc:Choice>
  </mc:AlternateContent>
  <bookViews>
    <workbookView xWindow="300" yWindow="460" windowWidth="23860" windowHeight="14000" tabRatio="500"/>
  </bookViews>
  <sheets>
    <sheet name="decider_paired_res (2)" sheetId="3" r:id="rId1"/>
    <sheet name="decider_paired_res" sheetId="1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7" i="3"/>
  <c r="T2" i="3"/>
  <c r="Z2" i="3"/>
  <c r="T3" i="3"/>
  <c r="Z3" i="3"/>
  <c r="T4" i="3"/>
  <c r="Z4" i="3"/>
  <c r="T5" i="3"/>
  <c r="Z5" i="3"/>
  <c r="T6" i="3"/>
  <c r="Z6" i="3"/>
  <c r="T7" i="3"/>
  <c r="Z7" i="3"/>
  <c r="T8" i="3"/>
  <c r="Z8" i="3"/>
  <c r="T9" i="3"/>
  <c r="Z9" i="3"/>
  <c r="T10" i="3"/>
  <c r="Z10" i="3"/>
  <c r="T11" i="3"/>
  <c r="Z11" i="3"/>
  <c r="T12" i="3"/>
  <c r="Z12" i="3"/>
  <c r="T13" i="3"/>
  <c r="Z13" i="3"/>
  <c r="T14" i="3"/>
  <c r="Z14" i="3"/>
  <c r="T15" i="3"/>
  <c r="Z15" i="3"/>
  <c r="T16" i="3"/>
  <c r="Z16" i="3"/>
  <c r="T17" i="3"/>
  <c r="Z17" i="3"/>
  <c r="T18" i="3"/>
  <c r="Z18" i="3"/>
  <c r="T19" i="3"/>
  <c r="Z19" i="3"/>
  <c r="T20" i="3"/>
  <c r="Z20" i="3"/>
  <c r="T21" i="3"/>
  <c r="Z21" i="3"/>
  <c r="T22" i="3"/>
  <c r="Z22" i="3"/>
  <c r="Z27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7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7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7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7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7" i="3"/>
  <c r="T27" i="3"/>
  <c r="R27" i="3"/>
  <c r="Q27" i="3"/>
  <c r="P27" i="3"/>
  <c r="O27" i="3"/>
  <c r="M27" i="3"/>
  <c r="L27" i="3"/>
  <c r="K27" i="3"/>
  <c r="J27" i="3"/>
  <c r="I27" i="3"/>
  <c r="H27" i="3"/>
  <c r="G27" i="3"/>
  <c r="F27" i="3"/>
  <c r="E27" i="3"/>
  <c r="D27" i="3"/>
  <c r="C27" i="3"/>
  <c r="B27" i="3"/>
</calcChain>
</file>

<file path=xl/sharedStrings.xml><?xml version="1.0" encoding="utf-8"?>
<sst xmlns="http://schemas.openxmlformats.org/spreadsheetml/2006/main" count="46" uniqueCount="25">
  <si>
    <t>Mutantion</t>
  </si>
  <si>
    <t>Unsolved Slices</t>
  </si>
  <si>
    <t>Total # Vars</t>
  </si>
  <si>
    <t>Total # Clauses</t>
  </si>
  <si>
    <t># Slices</t>
  </si>
  <si>
    <t>repeated slices</t>
  </si>
  <si>
    <t>first sol time</t>
  </si>
  <si>
    <t>whole sol time</t>
  </si>
  <si>
    <t>Slice time</t>
  </si>
  <si>
    <t>Canonize Time</t>
  </si>
  <si>
    <t># sat calls</t>
  </si>
  <si>
    <t>original</t>
  </si>
  <si>
    <t># of clauses</t>
  </si>
  <si>
    <t># clause in the largest slice</t>
  </si>
  <si>
    <t># vars in largest slice</t>
  </si>
  <si>
    <t>Ts-First solution</t>
  </si>
  <si>
    <t>Ts-whole solution</t>
  </si>
  <si>
    <t>Rs-repeated slices</t>
  </si>
  <si>
    <t>Rs-sizeClauses</t>
  </si>
  <si>
    <t>Rs-#Vars</t>
  </si>
  <si>
    <t>1/Ts First</t>
  </si>
  <si>
    <t>1-Ts First</t>
  </si>
  <si>
    <t>1-Rs Vars</t>
  </si>
  <si>
    <t>Magnitude of analysis time improvement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</si>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</sst>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4" fillId="4" borderId="0" xfId="0" applyFont="1" applyFill="1"/>
    <xf numFmtId="0" fontId="0" fillId="5" borderId="0" xfId="0" applyFill="1"/>
    <xf numFmtId="2" fontId="0" fillId="0" borderId="0" xfId="0" applyNumberFormat="1"/>
    <xf numFmtId="2" fontId="2" fillId="2" borderId="0" xfId="1" applyNumberFormat="1"/>
    <xf numFmtId="0" fontId="3" fillId="3" borderId="0" xfId="2"/>
    <xf numFmtId="2" fontId="3" fillId="3" borderId="0" xfId="2" applyNumberFormat="1"/>
    <xf numFmtId="0" fontId="5" fillId="0" borderId="0" xfId="0" applyFont="1"/>
    <xf numFmtId="0" fontId="0" fillId="0" borderId="0" xfId="0" applyFo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Ts-first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'decider_paired_res (2)'!$T$2:$T$24</c:f>
              <c:numCache>
                <c:formatCode>0.00</c:formatCode>
                <c:ptCount val="23"/>
                <c:pt idx="0">
                  <c:v>0.114285714285714</c:v>
                </c:pt>
                <c:pt idx="1">
                  <c:v>0.166666666666667</c:v>
                </c:pt>
                <c:pt idx="2">
                  <c:v>0.0384615384615385</c:v>
                </c:pt>
                <c:pt idx="3">
                  <c:v>0.2</c:v>
                </c:pt>
                <c:pt idx="4">
                  <c:v>0.0526315789473684</c:v>
                </c:pt>
                <c:pt idx="5">
                  <c:v>0.0408163265306122</c:v>
                </c:pt>
                <c:pt idx="6">
                  <c:v>0.0153846153846154</c:v>
                </c:pt>
                <c:pt idx="7">
                  <c:v>0.105263157894737</c:v>
                </c:pt>
                <c:pt idx="8">
                  <c:v>0.0555555555555555</c:v>
                </c:pt>
                <c:pt idx="9">
                  <c:v>0.0612244897959184</c:v>
                </c:pt>
                <c:pt idx="10">
                  <c:v>0.0545454545454545</c:v>
                </c:pt>
                <c:pt idx="11">
                  <c:v>0.0571428571428571</c:v>
                </c:pt>
                <c:pt idx="12">
                  <c:v>0.0344827586206896</c:v>
                </c:pt>
                <c:pt idx="13">
                  <c:v>0.0232558139534884</c:v>
                </c:pt>
                <c:pt idx="14">
                  <c:v>0.0333333333333333</c:v>
                </c:pt>
                <c:pt idx="15">
                  <c:v>0.064516129032258</c:v>
                </c:pt>
                <c:pt idx="16">
                  <c:v>0.0555555555555555</c:v>
                </c:pt>
                <c:pt idx="17">
                  <c:v>0.05</c:v>
                </c:pt>
                <c:pt idx="18">
                  <c:v>0.0344827586206896</c:v>
                </c:pt>
                <c:pt idx="19">
                  <c:v>0.153846153846154</c:v>
                </c:pt>
                <c:pt idx="20">
                  <c:v>0.0294117647058823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32727104"/>
        <c:axId val="-2008185520"/>
      </c:scatterChart>
      <c:valAx>
        <c:axId val="-203272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08185520"/>
        <c:crosses val="autoZero"/>
        <c:crossBetween val="midCat"/>
      </c:valAx>
      <c:valAx>
        <c:axId val="-2008185520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3272710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1-Rs (Vars)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</a:schemeClr>
              </a:solidFill>
              <a:ln w="9525">
                <a:solidFill>
                  <a:schemeClr val="tx2">
                    <a:lumMod val="50000"/>
                  </a:schemeClr>
                </a:solidFill>
              </a:ln>
              <a:effectLst/>
            </c:spPr>
          </c:marker>
          <c:yVal>
            <c:numRef>
              <c:f>'decider_paired_res (2)'!$AA$2:$AA$24</c:f>
              <c:numCache>
                <c:formatCode>0.00</c:formatCode>
                <c:ptCount val="23"/>
                <c:pt idx="0">
                  <c:v>0.252732240437158</c:v>
                </c:pt>
                <c:pt idx="1">
                  <c:v>0.255813953488372</c:v>
                </c:pt>
                <c:pt idx="2">
                  <c:v>0.352028639618138</c:v>
                </c:pt>
                <c:pt idx="3">
                  <c:v>0.674074074074074</c:v>
                </c:pt>
                <c:pt idx="4">
                  <c:v>0.252732240437158</c:v>
                </c:pt>
                <c:pt idx="5">
                  <c:v>0.301188903566711</c:v>
                </c:pt>
                <c:pt idx="6">
                  <c:v>0.305389221556886</c:v>
                </c:pt>
                <c:pt idx="7">
                  <c:v>0.252732240437158</c:v>
                </c:pt>
                <c:pt idx="8">
                  <c:v>0.674074074074074</c:v>
                </c:pt>
                <c:pt idx="9">
                  <c:v>0.720465890183028</c:v>
                </c:pt>
                <c:pt idx="10">
                  <c:v>0.346938775510204</c:v>
                </c:pt>
                <c:pt idx="11">
                  <c:v>0.301188903566711</c:v>
                </c:pt>
                <c:pt idx="12">
                  <c:v>0.252732240437158</c:v>
                </c:pt>
                <c:pt idx="13">
                  <c:v>0.252732240437158</c:v>
                </c:pt>
                <c:pt idx="14">
                  <c:v>0.301188903566711</c:v>
                </c:pt>
                <c:pt idx="15">
                  <c:v>0.301188903566711</c:v>
                </c:pt>
                <c:pt idx="16">
                  <c:v>0.252732240437158</c:v>
                </c:pt>
                <c:pt idx="17">
                  <c:v>0.674074074074074</c:v>
                </c:pt>
                <c:pt idx="18">
                  <c:v>0.29718875502008</c:v>
                </c:pt>
                <c:pt idx="19">
                  <c:v>0.252732240437158</c:v>
                </c:pt>
                <c:pt idx="20">
                  <c:v>0.252732240437158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08921008"/>
        <c:axId val="-2006710928"/>
      </c:scatterChart>
      <c:valAx>
        <c:axId val="-200892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06710928"/>
        <c:crosses val="autoZero"/>
        <c:crossBetween val="midCat"/>
      </c:valAx>
      <c:valAx>
        <c:axId val="-2006710928"/>
        <c:scaling>
          <c:orientation val="minMax"/>
          <c:max val="1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0892100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31</xdr:row>
      <xdr:rowOff>0</xdr:rowOff>
    </xdr:from>
    <xdr:to>
      <xdr:col>19</xdr:col>
      <xdr:colOff>444500</xdr:colOff>
      <xdr:row>44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254000</xdr:colOff>
      <xdr:row>30</xdr:row>
      <xdr:rowOff>177800</xdr:rowOff>
    </xdr:from>
    <xdr:to>
      <xdr:col>25</xdr:col>
      <xdr:colOff>698500</xdr:colOff>
      <xdr:row>44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tabSelected="1" workbookViewId="0">
      <selection activeCell="I18" sqref="I18"/>
    </sheetView>
  </sheetViews>
  <sheetFormatPr baseColWidth="10" defaultRowHeight="16" x14ac:dyDescent="0.2"/>
  <cols>
    <col min="2" max="2" width="13.5" bestFit="1" customWidth="1"/>
    <col min="3" max="3" width="10.6640625" bestFit="1" customWidth="1"/>
    <col min="4" max="4" width="13.1640625" bestFit="1" customWidth="1"/>
    <col min="5" max="5" width="7" bestFit="1" customWidth="1"/>
    <col min="6" max="6" width="22.6640625" bestFit="1" customWidth="1"/>
    <col min="7" max="7" width="12" bestFit="1" customWidth="1"/>
    <col min="8" max="8" width="13.33203125" bestFit="1" customWidth="1"/>
    <col min="9" max="9" width="11.1640625" bestFit="1" customWidth="1"/>
    <col min="10" max="10" width="13" bestFit="1" customWidth="1"/>
    <col min="11" max="11" width="8.83203125" bestFit="1" customWidth="1"/>
    <col min="14" max="14" width="3.5" style="2" customWidth="1"/>
    <col min="21" max="21" width="15.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8</v>
      </c>
      <c r="M1" s="1" t="s">
        <v>9</v>
      </c>
      <c r="O1" s="1" t="s">
        <v>12</v>
      </c>
      <c r="P1" s="1" t="s">
        <v>6</v>
      </c>
      <c r="Q1" s="1" t="s">
        <v>7</v>
      </c>
      <c r="R1" s="1" t="s">
        <v>10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</row>
    <row r="2" spans="1:27" x14ac:dyDescent="0.2">
      <c r="A2">
        <v>0</v>
      </c>
      <c r="B2">
        <v>1</v>
      </c>
      <c r="C2">
        <v>732</v>
      </c>
      <c r="D2">
        <v>0</v>
      </c>
      <c r="E2">
        <v>404</v>
      </c>
      <c r="F2">
        <v>2288</v>
      </c>
      <c r="G2">
        <v>185</v>
      </c>
      <c r="H2">
        <f>E2-B2</f>
        <v>403</v>
      </c>
      <c r="I2">
        <v>4</v>
      </c>
      <c r="J2">
        <v>2096</v>
      </c>
      <c r="K2">
        <v>2310</v>
      </c>
      <c r="L2">
        <v>6</v>
      </c>
      <c r="M2">
        <v>26</v>
      </c>
      <c r="O2">
        <v>3159</v>
      </c>
      <c r="P2">
        <v>35</v>
      </c>
      <c r="Q2">
        <v>2436</v>
      </c>
      <c r="R2">
        <v>2310</v>
      </c>
      <c r="T2" s="4">
        <f>I2/P2</f>
        <v>0.11428571428571428</v>
      </c>
      <c r="U2" s="4">
        <f>J2/Q2</f>
        <v>0.86042692939244658</v>
      </c>
      <c r="V2" s="4">
        <f>H2/E2</f>
        <v>0.99752475247524752</v>
      </c>
      <c r="W2" s="4">
        <f>(O2-F2)/O2</f>
        <v>0.27572016460905352</v>
      </c>
      <c r="X2" s="4">
        <f>(C2-G2)/C2</f>
        <v>0.74726775956284153</v>
      </c>
      <c r="Y2" s="4">
        <f>P2/I2</f>
        <v>8.75</v>
      </c>
      <c r="Z2" s="4">
        <f>1-T2</f>
        <v>0.88571428571428568</v>
      </c>
      <c r="AA2" s="4">
        <f>G2/C2</f>
        <v>0.25273224043715847</v>
      </c>
    </row>
    <row r="3" spans="1:27" x14ac:dyDescent="0.2">
      <c r="A3">
        <v>3</v>
      </c>
      <c r="B3">
        <v>10</v>
      </c>
      <c r="C3">
        <v>645</v>
      </c>
      <c r="D3">
        <v>0</v>
      </c>
      <c r="E3">
        <v>361</v>
      </c>
      <c r="F3">
        <v>2000</v>
      </c>
      <c r="G3">
        <v>165</v>
      </c>
      <c r="H3">
        <f t="shared" ref="H3:H23" si="0">E3-B3</f>
        <v>351</v>
      </c>
      <c r="I3">
        <v>6</v>
      </c>
      <c r="J3">
        <v>1217</v>
      </c>
      <c r="K3">
        <v>1439</v>
      </c>
      <c r="L3">
        <v>3</v>
      </c>
      <c r="M3">
        <v>26</v>
      </c>
      <c r="O3">
        <v>2741</v>
      </c>
      <c r="P3">
        <v>36</v>
      </c>
      <c r="Q3">
        <v>1420</v>
      </c>
      <c r="R3">
        <v>1430</v>
      </c>
      <c r="T3" s="4">
        <f t="shared" ref="T3:U22" si="1">I3/P3</f>
        <v>0.16666666666666666</v>
      </c>
      <c r="U3" s="4">
        <f t="shared" si="1"/>
        <v>0.85704225352112673</v>
      </c>
      <c r="V3" s="4">
        <f t="shared" ref="V3:V22" si="2">H3/E3</f>
        <v>0.97229916897506929</v>
      </c>
      <c r="W3" s="4">
        <f t="shared" ref="W3:W22" si="3">(O3-F3)/O3</f>
        <v>0.27033929222911346</v>
      </c>
      <c r="X3" s="4">
        <f t="shared" ref="X3:X22" si="4">(C3-G3)/C3</f>
        <v>0.7441860465116279</v>
      </c>
      <c r="Y3" s="4">
        <f t="shared" ref="Y3:Y22" si="5">P3/I3</f>
        <v>6</v>
      </c>
      <c r="Z3" s="4">
        <f t="shared" ref="Z3:Z22" si="6">1-T3</f>
        <v>0.83333333333333337</v>
      </c>
      <c r="AA3" s="4">
        <f t="shared" ref="AA3:AA22" si="7">G3/C3</f>
        <v>0.2558139534883721</v>
      </c>
    </row>
    <row r="4" spans="1:27" x14ac:dyDescent="0.2">
      <c r="A4">
        <v>4</v>
      </c>
      <c r="B4">
        <v>1</v>
      </c>
      <c r="C4">
        <v>838</v>
      </c>
      <c r="D4">
        <v>0</v>
      </c>
      <c r="E4">
        <v>418</v>
      </c>
      <c r="F4">
        <v>2848</v>
      </c>
      <c r="G4">
        <v>295</v>
      </c>
      <c r="H4">
        <f t="shared" si="0"/>
        <v>417</v>
      </c>
      <c r="I4">
        <v>2</v>
      </c>
      <c r="J4">
        <v>2124</v>
      </c>
      <c r="K4">
        <v>2002</v>
      </c>
      <c r="L4">
        <v>2</v>
      </c>
      <c r="M4">
        <v>23</v>
      </c>
      <c r="O4">
        <v>3621</v>
      </c>
      <c r="P4">
        <v>52</v>
      </c>
      <c r="Q4">
        <v>2567</v>
      </c>
      <c r="R4">
        <v>2002</v>
      </c>
      <c r="T4" s="4">
        <f t="shared" si="1"/>
        <v>3.8461538461538464E-2</v>
      </c>
      <c r="U4" s="4">
        <f t="shared" si="1"/>
        <v>0.82742500973899491</v>
      </c>
      <c r="V4" s="4">
        <f t="shared" si="2"/>
        <v>0.99760765550239239</v>
      </c>
      <c r="W4" s="4">
        <f t="shared" si="3"/>
        <v>0.21347694007180337</v>
      </c>
      <c r="X4" s="4">
        <f t="shared" si="4"/>
        <v>0.64797136038186154</v>
      </c>
      <c r="Y4" s="4">
        <f t="shared" si="5"/>
        <v>26</v>
      </c>
      <c r="Z4" s="4">
        <f t="shared" si="6"/>
        <v>0.96153846153846156</v>
      </c>
      <c r="AA4" s="4">
        <f t="shared" si="7"/>
        <v>0.35202863961813841</v>
      </c>
    </row>
    <row r="5" spans="1:27" x14ac:dyDescent="0.2">
      <c r="A5">
        <v>5</v>
      </c>
      <c r="B5">
        <v>1</v>
      </c>
      <c r="C5">
        <v>1080</v>
      </c>
      <c r="D5">
        <v>0</v>
      </c>
      <c r="E5">
        <v>345</v>
      </c>
      <c r="F5">
        <v>5018</v>
      </c>
      <c r="G5">
        <v>728</v>
      </c>
      <c r="H5">
        <f t="shared" si="0"/>
        <v>344</v>
      </c>
      <c r="I5">
        <v>12</v>
      </c>
      <c r="J5">
        <v>800</v>
      </c>
      <c r="K5">
        <v>440</v>
      </c>
      <c r="L5">
        <v>6</v>
      </c>
      <c r="M5">
        <v>99</v>
      </c>
      <c r="O5">
        <v>5708</v>
      </c>
      <c r="P5">
        <v>60</v>
      </c>
      <c r="Q5">
        <v>1107</v>
      </c>
      <c r="R5">
        <v>440</v>
      </c>
      <c r="T5" s="4">
        <f t="shared" si="1"/>
        <v>0.2</v>
      </c>
      <c r="U5" s="4">
        <f t="shared" si="1"/>
        <v>0.72267389340560073</v>
      </c>
      <c r="V5" s="4">
        <f t="shared" si="2"/>
        <v>0.99710144927536237</v>
      </c>
      <c r="W5" s="4">
        <f t="shared" si="3"/>
        <v>0.12088297126839523</v>
      </c>
      <c r="X5" s="4">
        <f t="shared" si="4"/>
        <v>0.32592592592592595</v>
      </c>
      <c r="Y5" s="4">
        <f t="shared" si="5"/>
        <v>5</v>
      </c>
      <c r="Z5" s="4">
        <f t="shared" si="6"/>
        <v>0.8</v>
      </c>
      <c r="AA5" s="4">
        <f t="shared" si="7"/>
        <v>0.67407407407407405</v>
      </c>
    </row>
    <row r="6" spans="1:27" x14ac:dyDescent="0.2">
      <c r="A6">
        <v>6</v>
      </c>
      <c r="B6">
        <v>1</v>
      </c>
      <c r="C6" s="9">
        <v>732</v>
      </c>
      <c r="D6">
        <v>0</v>
      </c>
      <c r="E6">
        <v>404</v>
      </c>
      <c r="F6">
        <v>1702</v>
      </c>
      <c r="G6">
        <v>185</v>
      </c>
      <c r="H6">
        <f t="shared" si="0"/>
        <v>403</v>
      </c>
      <c r="I6">
        <v>2</v>
      </c>
      <c r="J6">
        <v>1597</v>
      </c>
      <c r="K6">
        <v>2310</v>
      </c>
      <c r="L6">
        <v>3</v>
      </c>
      <c r="M6">
        <v>18</v>
      </c>
      <c r="O6">
        <v>3159</v>
      </c>
      <c r="P6">
        <v>38</v>
      </c>
      <c r="Q6">
        <v>2109</v>
      </c>
      <c r="R6">
        <v>2310</v>
      </c>
      <c r="T6" s="4">
        <f t="shared" si="1"/>
        <v>5.2631578947368418E-2</v>
      </c>
      <c r="U6" s="4">
        <f t="shared" si="1"/>
        <v>0.75723091512565199</v>
      </c>
      <c r="V6" s="4">
        <f t="shared" si="2"/>
        <v>0.99752475247524752</v>
      </c>
      <c r="W6" s="4">
        <f t="shared" si="3"/>
        <v>0.46122190566635013</v>
      </c>
      <c r="X6" s="4">
        <f t="shared" si="4"/>
        <v>0.74726775956284153</v>
      </c>
      <c r="Y6" s="4">
        <f t="shared" si="5"/>
        <v>19</v>
      </c>
      <c r="Z6" s="4">
        <f t="shared" si="6"/>
        <v>0.94736842105263164</v>
      </c>
      <c r="AA6" s="4">
        <f t="shared" si="7"/>
        <v>0.25273224043715847</v>
      </c>
    </row>
    <row r="7" spans="1:27" x14ac:dyDescent="0.2">
      <c r="A7" s="8">
        <v>7</v>
      </c>
      <c r="B7">
        <v>1</v>
      </c>
      <c r="C7">
        <v>757</v>
      </c>
      <c r="D7">
        <v>0</v>
      </c>
      <c r="E7">
        <v>386</v>
      </c>
      <c r="F7">
        <v>1880</v>
      </c>
      <c r="G7">
        <v>228</v>
      </c>
      <c r="H7">
        <f t="shared" si="0"/>
        <v>385</v>
      </c>
      <c r="I7">
        <v>2</v>
      </c>
      <c r="J7">
        <v>4858</v>
      </c>
      <c r="K7">
        <v>2310</v>
      </c>
      <c r="L7">
        <v>2</v>
      </c>
      <c r="M7">
        <v>14</v>
      </c>
      <c r="O7">
        <v>3322</v>
      </c>
      <c r="P7">
        <v>49</v>
      </c>
      <c r="Q7">
        <v>5170</v>
      </c>
      <c r="R7">
        <v>7332</v>
      </c>
      <c r="T7" s="4">
        <f t="shared" si="1"/>
        <v>4.0816326530612242E-2</v>
      </c>
      <c r="U7" s="4">
        <f t="shared" si="1"/>
        <v>0.93965183752417791</v>
      </c>
      <c r="V7" s="4">
        <f t="shared" si="2"/>
        <v>0.99740932642487046</v>
      </c>
      <c r="W7" s="4">
        <f t="shared" si="3"/>
        <v>0.4340758579169175</v>
      </c>
      <c r="X7" s="4">
        <f t="shared" si="4"/>
        <v>0.69881109643328931</v>
      </c>
      <c r="Y7" s="4">
        <f t="shared" si="5"/>
        <v>24.5</v>
      </c>
      <c r="Z7" s="4">
        <f t="shared" si="6"/>
        <v>0.95918367346938771</v>
      </c>
      <c r="AA7" s="4">
        <f t="shared" si="7"/>
        <v>0.30118890356671069</v>
      </c>
    </row>
    <row r="8" spans="1:27" x14ac:dyDescent="0.2">
      <c r="A8">
        <v>8</v>
      </c>
      <c r="B8">
        <v>11</v>
      </c>
      <c r="C8">
        <v>668</v>
      </c>
      <c r="D8">
        <v>0</v>
      </c>
      <c r="E8">
        <v>345</v>
      </c>
      <c r="F8">
        <v>1925</v>
      </c>
      <c r="G8">
        <v>204</v>
      </c>
      <c r="H8">
        <f t="shared" si="0"/>
        <v>334</v>
      </c>
      <c r="I8">
        <v>1</v>
      </c>
      <c r="J8">
        <v>5640</v>
      </c>
      <c r="K8">
        <v>6864</v>
      </c>
      <c r="L8">
        <v>2</v>
      </c>
      <c r="M8">
        <v>16</v>
      </c>
      <c r="O8">
        <v>3154</v>
      </c>
      <c r="P8">
        <v>65</v>
      </c>
      <c r="Q8">
        <v>8978</v>
      </c>
      <c r="R8">
        <v>13728</v>
      </c>
      <c r="T8" s="4">
        <f t="shared" si="1"/>
        <v>1.5384615384615385E-2</v>
      </c>
      <c r="U8" s="4">
        <f t="shared" si="1"/>
        <v>0.62820227222098468</v>
      </c>
      <c r="V8" s="4">
        <f t="shared" si="2"/>
        <v>0.96811594202898554</v>
      </c>
      <c r="W8" s="4">
        <f t="shared" si="3"/>
        <v>0.38966391883322765</v>
      </c>
      <c r="X8" s="4">
        <f t="shared" si="4"/>
        <v>0.69461077844311381</v>
      </c>
      <c r="Y8" s="4">
        <f t="shared" si="5"/>
        <v>65</v>
      </c>
      <c r="Z8" s="4">
        <f t="shared" si="6"/>
        <v>0.98461538461538467</v>
      </c>
      <c r="AA8" s="4">
        <f t="shared" si="7"/>
        <v>0.30538922155688625</v>
      </c>
    </row>
    <row r="9" spans="1:27" x14ac:dyDescent="0.2">
      <c r="A9" s="8">
        <v>9</v>
      </c>
      <c r="B9">
        <v>1</v>
      </c>
      <c r="C9" s="8">
        <v>732</v>
      </c>
      <c r="D9">
        <v>0</v>
      </c>
      <c r="E9">
        <v>404</v>
      </c>
      <c r="F9">
        <v>2288</v>
      </c>
      <c r="G9">
        <v>185</v>
      </c>
      <c r="H9">
        <f t="shared" si="0"/>
        <v>403</v>
      </c>
      <c r="I9">
        <v>4</v>
      </c>
      <c r="J9">
        <v>2058</v>
      </c>
      <c r="K9">
        <v>2310</v>
      </c>
      <c r="L9">
        <v>2</v>
      </c>
      <c r="M9">
        <v>24</v>
      </c>
      <c r="O9">
        <v>3159</v>
      </c>
      <c r="P9">
        <v>38</v>
      </c>
      <c r="Q9">
        <v>2467</v>
      </c>
      <c r="R9">
        <v>2310</v>
      </c>
      <c r="T9" s="4">
        <f t="shared" si="1"/>
        <v>0.10526315789473684</v>
      </c>
      <c r="U9" s="4">
        <f t="shared" si="1"/>
        <v>0.83421159302796921</v>
      </c>
      <c r="V9" s="4">
        <f t="shared" si="2"/>
        <v>0.99752475247524752</v>
      </c>
      <c r="W9" s="4">
        <f t="shared" si="3"/>
        <v>0.27572016460905352</v>
      </c>
      <c r="X9" s="4">
        <f t="shared" si="4"/>
        <v>0.74726775956284153</v>
      </c>
      <c r="Y9" s="4">
        <f t="shared" si="5"/>
        <v>9.5</v>
      </c>
      <c r="Z9" s="4">
        <f t="shared" si="6"/>
        <v>0.89473684210526316</v>
      </c>
      <c r="AA9" s="4">
        <f t="shared" si="7"/>
        <v>0.25273224043715847</v>
      </c>
    </row>
    <row r="10" spans="1:27" x14ac:dyDescent="0.2">
      <c r="A10">
        <v>10</v>
      </c>
      <c r="B10">
        <v>1</v>
      </c>
      <c r="C10">
        <v>1080</v>
      </c>
      <c r="D10">
        <v>0</v>
      </c>
      <c r="E10">
        <v>345</v>
      </c>
      <c r="F10">
        <v>5175</v>
      </c>
      <c r="G10">
        <v>728</v>
      </c>
      <c r="H10">
        <f t="shared" si="0"/>
        <v>344</v>
      </c>
      <c r="I10">
        <v>4</v>
      </c>
      <c r="J10">
        <v>4261</v>
      </c>
      <c r="K10">
        <v>5304</v>
      </c>
      <c r="L10">
        <v>3</v>
      </c>
      <c r="M10">
        <v>132</v>
      </c>
      <c r="O10">
        <v>5837</v>
      </c>
      <c r="P10">
        <v>72</v>
      </c>
      <c r="Q10">
        <v>5928</v>
      </c>
      <c r="R10">
        <v>5304</v>
      </c>
      <c r="T10" s="4">
        <f t="shared" si="1"/>
        <v>5.5555555555555552E-2</v>
      </c>
      <c r="U10" s="4">
        <f t="shared" si="1"/>
        <v>0.71879217273954121</v>
      </c>
      <c r="V10" s="4">
        <f t="shared" si="2"/>
        <v>0.99710144927536237</v>
      </c>
      <c r="W10" s="4">
        <f t="shared" si="3"/>
        <v>0.11341442521843413</v>
      </c>
      <c r="X10" s="4">
        <f t="shared" si="4"/>
        <v>0.32592592592592595</v>
      </c>
      <c r="Y10" s="4">
        <f t="shared" si="5"/>
        <v>18</v>
      </c>
      <c r="Z10" s="4">
        <f t="shared" si="6"/>
        <v>0.94444444444444442</v>
      </c>
      <c r="AA10" s="4">
        <f t="shared" si="7"/>
        <v>0.67407407407407405</v>
      </c>
    </row>
    <row r="11" spans="1:27" x14ac:dyDescent="0.2">
      <c r="A11" s="9">
        <v>11</v>
      </c>
      <c r="B11">
        <v>2</v>
      </c>
      <c r="C11">
        <v>1202</v>
      </c>
      <c r="D11">
        <v>0</v>
      </c>
      <c r="E11">
        <v>329</v>
      </c>
      <c r="F11">
        <v>6173</v>
      </c>
      <c r="G11">
        <v>866</v>
      </c>
      <c r="H11">
        <f t="shared" si="0"/>
        <v>327</v>
      </c>
      <c r="I11">
        <v>3</v>
      </c>
      <c r="J11">
        <v>21862</v>
      </c>
      <c r="K11">
        <v>21200</v>
      </c>
      <c r="L11">
        <v>4</v>
      </c>
      <c r="M11">
        <v>68</v>
      </c>
      <c r="O11">
        <v>6826</v>
      </c>
      <c r="P11">
        <v>49</v>
      </c>
      <c r="Q11">
        <v>44204</v>
      </c>
      <c r="R11">
        <v>42400</v>
      </c>
      <c r="T11" s="4">
        <f t="shared" si="1"/>
        <v>6.1224489795918366E-2</v>
      </c>
      <c r="U11" s="4">
        <f t="shared" si="1"/>
        <v>0.49457062709257082</v>
      </c>
      <c r="V11" s="4">
        <f t="shared" si="2"/>
        <v>0.99392097264437695</v>
      </c>
      <c r="W11" s="4">
        <f t="shared" si="3"/>
        <v>9.5663639027248754E-2</v>
      </c>
      <c r="X11" s="4">
        <f t="shared" si="4"/>
        <v>0.27953410981697169</v>
      </c>
      <c r="Y11" s="4">
        <f t="shared" si="5"/>
        <v>16.333333333333332</v>
      </c>
      <c r="Z11" s="4">
        <f t="shared" si="6"/>
        <v>0.93877551020408168</v>
      </c>
      <c r="AA11" s="4">
        <f t="shared" si="7"/>
        <v>0.72046589018302831</v>
      </c>
    </row>
    <row r="12" spans="1:27" x14ac:dyDescent="0.2">
      <c r="A12" s="8">
        <v>13</v>
      </c>
      <c r="B12">
        <v>11</v>
      </c>
      <c r="C12">
        <v>686</v>
      </c>
      <c r="D12">
        <v>0</v>
      </c>
      <c r="E12">
        <v>329</v>
      </c>
      <c r="F12">
        <v>2235</v>
      </c>
      <c r="G12">
        <v>238</v>
      </c>
      <c r="H12">
        <f t="shared" si="0"/>
        <v>318</v>
      </c>
      <c r="I12">
        <v>3</v>
      </c>
      <c r="J12">
        <v>40971</v>
      </c>
      <c r="K12">
        <v>33859</v>
      </c>
      <c r="L12">
        <v>2</v>
      </c>
      <c r="M12">
        <v>31</v>
      </c>
      <c r="O12">
        <v>3060</v>
      </c>
      <c r="P12">
        <v>55</v>
      </c>
      <c r="Q12">
        <v>397489</v>
      </c>
      <c r="R12">
        <v>462800</v>
      </c>
      <c r="T12" s="4">
        <f t="shared" si="1"/>
        <v>5.4545454545454543E-2</v>
      </c>
      <c r="U12" s="4">
        <f t="shared" si="1"/>
        <v>0.10307455049070541</v>
      </c>
      <c r="V12" s="4">
        <f t="shared" si="2"/>
        <v>0.96656534954407292</v>
      </c>
      <c r="W12" s="4">
        <f t="shared" si="3"/>
        <v>0.26960784313725489</v>
      </c>
      <c r="X12" s="4">
        <f t="shared" si="4"/>
        <v>0.65306122448979587</v>
      </c>
      <c r="Y12" s="4">
        <f t="shared" si="5"/>
        <v>18.333333333333332</v>
      </c>
      <c r="Z12" s="4">
        <f t="shared" si="6"/>
        <v>0.94545454545454544</v>
      </c>
      <c r="AA12" s="4">
        <f t="shared" si="7"/>
        <v>0.34693877551020408</v>
      </c>
    </row>
    <row r="13" spans="1:27" x14ac:dyDescent="0.2">
      <c r="A13" s="8">
        <v>15</v>
      </c>
      <c r="B13">
        <v>2</v>
      </c>
      <c r="C13">
        <v>757</v>
      </c>
      <c r="D13">
        <v>0</v>
      </c>
      <c r="E13">
        <v>386</v>
      </c>
      <c r="F13">
        <v>1849</v>
      </c>
      <c r="G13">
        <v>228</v>
      </c>
      <c r="H13">
        <f t="shared" si="0"/>
        <v>384</v>
      </c>
      <c r="I13">
        <v>2</v>
      </c>
      <c r="J13">
        <v>4881</v>
      </c>
      <c r="K13">
        <v>7332</v>
      </c>
      <c r="L13">
        <v>2</v>
      </c>
      <c r="M13">
        <v>15</v>
      </c>
      <c r="O13">
        <v>3282</v>
      </c>
      <c r="P13">
        <v>35</v>
      </c>
      <c r="Q13">
        <v>17158</v>
      </c>
      <c r="R13">
        <v>29328</v>
      </c>
      <c r="T13" s="4">
        <f t="shared" si="1"/>
        <v>5.7142857142857141E-2</v>
      </c>
      <c r="U13" s="4">
        <f t="shared" si="1"/>
        <v>0.28447371488518475</v>
      </c>
      <c r="V13" s="4">
        <f t="shared" si="2"/>
        <v>0.99481865284974091</v>
      </c>
      <c r="W13" s="4">
        <f t="shared" si="3"/>
        <v>0.43662400975015236</v>
      </c>
      <c r="X13" s="4">
        <f t="shared" si="4"/>
        <v>0.69881109643328931</v>
      </c>
      <c r="Y13" s="4">
        <f t="shared" si="5"/>
        <v>17.5</v>
      </c>
      <c r="Z13" s="4">
        <f t="shared" si="6"/>
        <v>0.94285714285714284</v>
      </c>
      <c r="AA13" s="4">
        <f t="shared" si="7"/>
        <v>0.30118890356671069</v>
      </c>
    </row>
    <row r="14" spans="1:27" x14ac:dyDescent="0.2">
      <c r="A14" s="8">
        <v>16</v>
      </c>
      <c r="B14">
        <v>1</v>
      </c>
      <c r="C14">
        <v>732</v>
      </c>
      <c r="D14">
        <v>0</v>
      </c>
      <c r="E14">
        <v>404</v>
      </c>
      <c r="F14">
        <v>2288</v>
      </c>
      <c r="G14">
        <v>185</v>
      </c>
      <c r="H14">
        <f t="shared" si="0"/>
        <v>403</v>
      </c>
      <c r="I14">
        <v>1</v>
      </c>
      <c r="J14">
        <v>2479</v>
      </c>
      <c r="K14">
        <v>2310</v>
      </c>
      <c r="L14">
        <v>4</v>
      </c>
      <c r="M14">
        <v>25</v>
      </c>
      <c r="O14">
        <v>3160</v>
      </c>
      <c r="P14">
        <v>29</v>
      </c>
      <c r="Q14">
        <v>3449</v>
      </c>
      <c r="R14">
        <v>2310</v>
      </c>
      <c r="T14" s="4">
        <f t="shared" si="1"/>
        <v>3.4482758620689655E-2</v>
      </c>
      <c r="U14" s="4">
        <f t="shared" si="1"/>
        <v>0.71875906059727457</v>
      </c>
      <c r="V14" s="4">
        <f t="shared" si="2"/>
        <v>0.99752475247524752</v>
      </c>
      <c r="W14" s="4">
        <f t="shared" si="3"/>
        <v>0.27594936708860762</v>
      </c>
      <c r="X14" s="4">
        <f t="shared" si="4"/>
        <v>0.74726775956284153</v>
      </c>
      <c r="Y14" s="4">
        <f t="shared" si="5"/>
        <v>29</v>
      </c>
      <c r="Z14" s="4">
        <f t="shared" si="6"/>
        <v>0.96551724137931039</v>
      </c>
      <c r="AA14" s="4">
        <f t="shared" si="7"/>
        <v>0.25273224043715847</v>
      </c>
    </row>
    <row r="15" spans="1:27" x14ac:dyDescent="0.2">
      <c r="A15" s="8">
        <v>18</v>
      </c>
      <c r="B15">
        <v>1</v>
      </c>
      <c r="C15">
        <v>732</v>
      </c>
      <c r="D15">
        <v>0</v>
      </c>
      <c r="E15">
        <v>404</v>
      </c>
      <c r="F15">
        <v>2273</v>
      </c>
      <c r="G15">
        <v>185</v>
      </c>
      <c r="H15">
        <f t="shared" si="0"/>
        <v>403</v>
      </c>
      <c r="I15">
        <v>1</v>
      </c>
      <c r="J15">
        <v>1208</v>
      </c>
      <c r="K15">
        <v>1300</v>
      </c>
      <c r="L15">
        <v>3</v>
      </c>
      <c r="M15">
        <v>23</v>
      </c>
      <c r="O15">
        <v>3147</v>
      </c>
      <c r="P15">
        <v>43</v>
      </c>
      <c r="Q15">
        <v>1692</v>
      </c>
      <c r="R15">
        <v>1300</v>
      </c>
      <c r="T15" s="4">
        <f t="shared" si="1"/>
        <v>2.3255813953488372E-2</v>
      </c>
      <c r="U15" s="4">
        <f t="shared" si="1"/>
        <v>0.71394799054373526</v>
      </c>
      <c r="V15" s="4">
        <f t="shared" si="2"/>
        <v>0.99752475247524752</v>
      </c>
      <c r="W15" s="4">
        <f t="shared" si="3"/>
        <v>0.27772481728630444</v>
      </c>
      <c r="X15" s="4">
        <f t="shared" si="4"/>
        <v>0.74726775956284153</v>
      </c>
      <c r="Y15" s="4">
        <f t="shared" si="5"/>
        <v>43</v>
      </c>
      <c r="Z15" s="4">
        <f t="shared" si="6"/>
        <v>0.97674418604651159</v>
      </c>
      <c r="AA15" s="4">
        <f t="shared" si="7"/>
        <v>0.25273224043715847</v>
      </c>
    </row>
    <row r="16" spans="1:27" x14ac:dyDescent="0.2">
      <c r="A16" s="8">
        <v>19</v>
      </c>
      <c r="B16">
        <v>1</v>
      </c>
      <c r="C16">
        <v>757</v>
      </c>
      <c r="D16">
        <v>0</v>
      </c>
      <c r="E16">
        <v>386</v>
      </c>
      <c r="F16">
        <v>1833</v>
      </c>
      <c r="G16">
        <v>228</v>
      </c>
      <c r="H16">
        <f t="shared" si="0"/>
        <v>385</v>
      </c>
      <c r="I16">
        <v>1</v>
      </c>
      <c r="J16">
        <v>2294</v>
      </c>
      <c r="K16">
        <v>3668</v>
      </c>
      <c r="L16">
        <v>2</v>
      </c>
      <c r="M16">
        <v>18</v>
      </c>
      <c r="O16">
        <v>3269</v>
      </c>
      <c r="P16">
        <v>30</v>
      </c>
      <c r="Q16">
        <v>4915</v>
      </c>
      <c r="R16">
        <v>7336</v>
      </c>
      <c r="T16" s="4">
        <f t="shared" si="1"/>
        <v>3.3333333333333333E-2</v>
      </c>
      <c r="U16" s="4">
        <f t="shared" si="1"/>
        <v>0.46673448626653102</v>
      </c>
      <c r="V16" s="4">
        <f t="shared" si="2"/>
        <v>0.99740932642487046</v>
      </c>
      <c r="W16" s="4">
        <f t="shared" si="3"/>
        <v>0.43927806668706026</v>
      </c>
      <c r="X16" s="4">
        <f t="shared" si="4"/>
        <v>0.69881109643328931</v>
      </c>
      <c r="Y16" s="4">
        <f t="shared" si="5"/>
        <v>30</v>
      </c>
      <c r="Z16" s="4">
        <f t="shared" si="6"/>
        <v>0.96666666666666667</v>
      </c>
      <c r="AA16" s="4">
        <f t="shared" si="7"/>
        <v>0.30118890356671069</v>
      </c>
    </row>
    <row r="17" spans="1:27" x14ac:dyDescent="0.2">
      <c r="A17" s="8">
        <v>22</v>
      </c>
      <c r="B17">
        <v>4</v>
      </c>
      <c r="C17" s="8">
        <v>757</v>
      </c>
      <c r="D17">
        <v>0</v>
      </c>
      <c r="E17">
        <v>386</v>
      </c>
      <c r="F17">
        <v>1872</v>
      </c>
      <c r="G17">
        <v>228</v>
      </c>
      <c r="H17">
        <f t="shared" si="0"/>
        <v>382</v>
      </c>
      <c r="I17">
        <v>2</v>
      </c>
      <c r="J17">
        <v>35518</v>
      </c>
      <c r="K17">
        <v>30584</v>
      </c>
      <c r="L17">
        <v>2</v>
      </c>
      <c r="M17">
        <v>35</v>
      </c>
      <c r="O17">
        <v>3280</v>
      </c>
      <c r="P17">
        <v>31</v>
      </c>
      <c r="Q17">
        <v>500169</v>
      </c>
      <c r="R17">
        <v>611520</v>
      </c>
      <c r="T17" s="4">
        <f t="shared" si="1"/>
        <v>6.4516129032258063E-2</v>
      </c>
      <c r="U17" s="4">
        <f t="shared" si="1"/>
        <v>7.1011997944694691E-2</v>
      </c>
      <c r="V17" s="4">
        <f t="shared" si="2"/>
        <v>0.98963730569948183</v>
      </c>
      <c r="W17" s="4">
        <f t="shared" si="3"/>
        <v>0.42926829268292682</v>
      </c>
      <c r="X17" s="4">
        <f t="shared" si="4"/>
        <v>0.69881109643328931</v>
      </c>
      <c r="Y17" s="4">
        <f t="shared" si="5"/>
        <v>15.5</v>
      </c>
      <c r="Z17" s="4">
        <f t="shared" si="6"/>
        <v>0.93548387096774199</v>
      </c>
      <c r="AA17" s="4">
        <f t="shared" si="7"/>
        <v>0.30118890356671069</v>
      </c>
    </row>
    <row r="18" spans="1:27" ht="17" customHeight="1" x14ac:dyDescent="0.2">
      <c r="A18" s="8">
        <v>23</v>
      </c>
      <c r="B18">
        <v>1</v>
      </c>
      <c r="C18" s="8">
        <v>732</v>
      </c>
      <c r="D18">
        <v>0</v>
      </c>
      <c r="E18">
        <v>404</v>
      </c>
      <c r="F18">
        <v>2393</v>
      </c>
      <c r="G18">
        <v>185</v>
      </c>
      <c r="H18">
        <f t="shared" si="0"/>
        <v>403</v>
      </c>
      <c r="I18">
        <v>2</v>
      </c>
      <c r="J18">
        <v>1230</v>
      </c>
      <c r="K18">
        <v>1300</v>
      </c>
      <c r="L18">
        <v>3</v>
      </c>
      <c r="M18">
        <v>45</v>
      </c>
      <c r="O18">
        <v>3211</v>
      </c>
      <c r="P18">
        <v>36</v>
      </c>
      <c r="Q18">
        <v>1552</v>
      </c>
      <c r="R18">
        <v>1300</v>
      </c>
      <c r="T18" s="4">
        <f t="shared" si="1"/>
        <v>5.5555555555555552E-2</v>
      </c>
      <c r="U18" s="4">
        <f t="shared" si="1"/>
        <v>0.79252577319587625</v>
      </c>
      <c r="V18" s="4">
        <f t="shared" si="2"/>
        <v>0.99752475247524752</v>
      </c>
      <c r="W18" s="4">
        <f t="shared" si="3"/>
        <v>0.25474929928371226</v>
      </c>
      <c r="X18" s="4">
        <f t="shared" si="4"/>
        <v>0.74726775956284153</v>
      </c>
      <c r="Y18" s="4">
        <f t="shared" si="5"/>
        <v>18</v>
      </c>
      <c r="Z18" s="4">
        <f t="shared" si="6"/>
        <v>0.94444444444444442</v>
      </c>
      <c r="AA18" s="4">
        <f t="shared" si="7"/>
        <v>0.25273224043715847</v>
      </c>
    </row>
    <row r="19" spans="1:27" x14ac:dyDescent="0.2">
      <c r="A19">
        <v>24</v>
      </c>
      <c r="B19">
        <v>1</v>
      </c>
      <c r="C19">
        <v>1080</v>
      </c>
      <c r="D19">
        <v>0</v>
      </c>
      <c r="E19">
        <v>345</v>
      </c>
      <c r="F19">
        <v>5018</v>
      </c>
      <c r="G19">
        <v>728</v>
      </c>
      <c r="H19">
        <f t="shared" si="0"/>
        <v>344</v>
      </c>
      <c r="I19">
        <v>2</v>
      </c>
      <c r="J19">
        <v>785</v>
      </c>
      <c r="K19">
        <v>440</v>
      </c>
      <c r="L19">
        <v>7</v>
      </c>
      <c r="M19">
        <v>91</v>
      </c>
      <c r="O19">
        <v>5708</v>
      </c>
      <c r="P19">
        <v>40</v>
      </c>
      <c r="Q19">
        <v>1089</v>
      </c>
      <c r="R19">
        <v>440</v>
      </c>
      <c r="T19" s="4">
        <f t="shared" si="1"/>
        <v>0.05</v>
      </c>
      <c r="U19" s="4">
        <f t="shared" si="1"/>
        <v>0.72084481175390269</v>
      </c>
      <c r="V19" s="4">
        <f t="shared" si="2"/>
        <v>0.99710144927536237</v>
      </c>
      <c r="W19" s="4">
        <f t="shared" si="3"/>
        <v>0.12088297126839523</v>
      </c>
      <c r="X19" s="4">
        <f t="shared" si="4"/>
        <v>0.32592592592592595</v>
      </c>
      <c r="Y19" s="4">
        <f t="shared" si="5"/>
        <v>20</v>
      </c>
      <c r="Z19" s="4">
        <f t="shared" si="6"/>
        <v>0.95</v>
      </c>
      <c r="AA19" s="4">
        <f t="shared" si="7"/>
        <v>0.67407407407407405</v>
      </c>
    </row>
    <row r="20" spans="1:27" x14ac:dyDescent="0.2">
      <c r="A20">
        <v>26</v>
      </c>
      <c r="B20">
        <v>2</v>
      </c>
      <c r="C20">
        <v>747</v>
      </c>
      <c r="D20">
        <v>0</v>
      </c>
      <c r="E20">
        <v>400</v>
      </c>
      <c r="F20">
        <v>2051</v>
      </c>
      <c r="G20">
        <v>222</v>
      </c>
      <c r="H20">
        <f t="shared" si="0"/>
        <v>398</v>
      </c>
      <c r="I20">
        <v>1</v>
      </c>
      <c r="J20">
        <v>5974</v>
      </c>
      <c r="K20">
        <v>9654</v>
      </c>
      <c r="L20">
        <v>2</v>
      </c>
      <c r="M20">
        <v>39</v>
      </c>
      <c r="O20">
        <v>3372</v>
      </c>
      <c r="P20">
        <v>29</v>
      </c>
      <c r="Q20">
        <v>61871</v>
      </c>
      <c r="R20">
        <v>96460</v>
      </c>
      <c r="T20" s="4">
        <f t="shared" si="1"/>
        <v>3.4482758620689655E-2</v>
      </c>
      <c r="U20" s="4">
        <f t="shared" si="1"/>
        <v>9.6555736936529232E-2</v>
      </c>
      <c r="V20" s="4">
        <f t="shared" si="2"/>
        <v>0.995</v>
      </c>
      <c r="W20" s="4">
        <f t="shared" si="3"/>
        <v>0.3917556346381969</v>
      </c>
      <c r="X20" s="4">
        <f t="shared" si="4"/>
        <v>0.70281124497991965</v>
      </c>
      <c r="Y20" s="4">
        <f t="shared" si="5"/>
        <v>29</v>
      </c>
      <c r="Z20" s="4">
        <f t="shared" si="6"/>
        <v>0.96551724137931039</v>
      </c>
      <c r="AA20" s="4">
        <f t="shared" si="7"/>
        <v>0.2971887550200803</v>
      </c>
    </row>
    <row r="21" spans="1:27" x14ac:dyDescent="0.2">
      <c r="A21">
        <v>27</v>
      </c>
      <c r="B21">
        <v>1</v>
      </c>
      <c r="C21">
        <v>732</v>
      </c>
      <c r="D21">
        <v>0</v>
      </c>
      <c r="E21">
        <v>404</v>
      </c>
      <c r="F21">
        <v>2233</v>
      </c>
      <c r="G21">
        <v>185</v>
      </c>
      <c r="H21">
        <f t="shared" si="0"/>
        <v>403</v>
      </c>
      <c r="I21">
        <v>6</v>
      </c>
      <c r="J21">
        <v>2000</v>
      </c>
      <c r="K21">
        <v>2314</v>
      </c>
      <c r="L21">
        <v>2</v>
      </c>
      <c r="M21">
        <v>31</v>
      </c>
      <c r="O21">
        <v>3122</v>
      </c>
      <c r="P21">
        <v>39</v>
      </c>
      <c r="Q21">
        <v>2376</v>
      </c>
      <c r="R21">
        <v>2314</v>
      </c>
      <c r="T21" s="4">
        <f t="shared" si="1"/>
        <v>0.15384615384615385</v>
      </c>
      <c r="U21" s="4">
        <f t="shared" si="1"/>
        <v>0.84175084175084181</v>
      </c>
      <c r="V21" s="4">
        <f t="shared" si="2"/>
        <v>0.99752475247524752</v>
      </c>
      <c r="W21" s="4">
        <f t="shared" si="3"/>
        <v>0.28475336322869954</v>
      </c>
      <c r="X21" s="4">
        <f t="shared" si="4"/>
        <v>0.74726775956284153</v>
      </c>
      <c r="Y21" s="4">
        <f t="shared" si="5"/>
        <v>6.5</v>
      </c>
      <c r="Z21" s="4">
        <f t="shared" si="6"/>
        <v>0.84615384615384615</v>
      </c>
      <c r="AA21" s="4">
        <f t="shared" si="7"/>
        <v>0.25273224043715847</v>
      </c>
    </row>
    <row r="22" spans="1:27" x14ac:dyDescent="0.2">
      <c r="A22">
        <v>29</v>
      </c>
      <c r="B22">
        <v>1</v>
      </c>
      <c r="C22">
        <v>732</v>
      </c>
      <c r="D22">
        <v>0</v>
      </c>
      <c r="E22">
        <v>404</v>
      </c>
      <c r="F22">
        <v>1717</v>
      </c>
      <c r="G22">
        <v>185</v>
      </c>
      <c r="H22">
        <f t="shared" si="0"/>
        <v>403</v>
      </c>
      <c r="I22">
        <v>1</v>
      </c>
      <c r="J22">
        <v>1768</v>
      </c>
      <c r="K22">
        <v>2310</v>
      </c>
      <c r="L22">
        <v>9</v>
      </c>
      <c r="M22">
        <v>31</v>
      </c>
      <c r="O22">
        <v>3175</v>
      </c>
      <c r="P22">
        <v>34</v>
      </c>
      <c r="Q22">
        <v>2136</v>
      </c>
      <c r="R22">
        <v>2310</v>
      </c>
      <c r="T22" s="4">
        <f t="shared" si="1"/>
        <v>2.9411764705882353E-2</v>
      </c>
      <c r="U22" s="4">
        <f t="shared" si="1"/>
        <v>0.82771535580524347</v>
      </c>
      <c r="V22" s="4">
        <f t="shared" si="2"/>
        <v>0.99752475247524752</v>
      </c>
      <c r="W22" s="4">
        <f t="shared" si="3"/>
        <v>0.45921259842519685</v>
      </c>
      <c r="X22" s="4">
        <f t="shared" si="4"/>
        <v>0.74726775956284153</v>
      </c>
      <c r="Y22" s="4">
        <f t="shared" si="5"/>
        <v>34</v>
      </c>
      <c r="Z22" s="4">
        <f t="shared" si="6"/>
        <v>0.97058823529411764</v>
      </c>
      <c r="AA22" s="4">
        <f t="shared" si="7"/>
        <v>0.25273224043715847</v>
      </c>
    </row>
    <row r="23" spans="1:27" x14ac:dyDescent="0.2">
      <c r="A23" s="6" t="s">
        <v>11</v>
      </c>
      <c r="B23" s="6">
        <v>14</v>
      </c>
      <c r="C23" s="6">
        <v>889</v>
      </c>
      <c r="D23" s="6">
        <v>0</v>
      </c>
      <c r="E23" s="6">
        <v>422</v>
      </c>
      <c r="F23" s="6">
        <v>4149</v>
      </c>
      <c r="G23" s="6">
        <v>324</v>
      </c>
      <c r="H23">
        <f t="shared" si="0"/>
        <v>408</v>
      </c>
      <c r="I23" s="6">
        <v>48</v>
      </c>
      <c r="J23" s="6">
        <v>512314</v>
      </c>
      <c r="K23" s="6">
        <v>48631</v>
      </c>
      <c r="L23" s="6">
        <v>17</v>
      </c>
      <c r="M23" s="6">
        <v>195</v>
      </c>
      <c r="N23" s="6"/>
      <c r="O23" s="6"/>
      <c r="P23" s="6"/>
      <c r="Q23" s="6"/>
      <c r="R23" s="6"/>
      <c r="S23" s="6"/>
      <c r="T23" s="7"/>
      <c r="U23" s="7"/>
      <c r="V23" s="7"/>
      <c r="W23" s="7"/>
      <c r="X23" s="7"/>
      <c r="Y23" s="7"/>
      <c r="Z23" s="7"/>
      <c r="AA23" s="7"/>
    </row>
    <row r="24" spans="1:27" x14ac:dyDescent="0.2">
      <c r="T24" s="4"/>
      <c r="U24" s="4"/>
      <c r="V24" s="4"/>
      <c r="W24" s="4"/>
      <c r="X24" s="4"/>
      <c r="Y24" s="4"/>
      <c r="Z24" s="4"/>
      <c r="AA24" s="4"/>
    </row>
    <row r="25" spans="1:27" x14ac:dyDescent="0.2">
      <c r="V25" s="4"/>
      <c r="X25" s="4"/>
      <c r="Y25" t="s">
        <v>23</v>
      </c>
    </row>
    <row r="27" spans="1:27" x14ac:dyDescent="0.2">
      <c r="A27" t="s">
        <v>24</v>
      </c>
      <c r="B27">
        <f t="shared" ref="B27:M27" si="8">AVERAGE(B2:B24)</f>
        <v>3.1818181818181817</v>
      </c>
      <c r="C27">
        <f t="shared" si="8"/>
        <v>809.0454545454545</v>
      </c>
      <c r="D27">
        <f t="shared" si="8"/>
        <v>0</v>
      </c>
      <c r="E27">
        <f t="shared" si="8"/>
        <v>382.5</v>
      </c>
      <c r="F27">
        <f t="shared" si="8"/>
        <v>2782.181818181818</v>
      </c>
      <c r="G27">
        <f t="shared" si="8"/>
        <v>313.18181818181819</v>
      </c>
      <c r="H27">
        <f t="shared" si="8"/>
        <v>379.31818181818181</v>
      </c>
      <c r="I27">
        <f t="shared" si="8"/>
        <v>5</v>
      </c>
      <c r="J27">
        <f t="shared" si="8"/>
        <v>29906.136363636364</v>
      </c>
      <c r="K27">
        <f t="shared" si="8"/>
        <v>8645.045454545454</v>
      </c>
      <c r="L27">
        <f t="shared" si="8"/>
        <v>4</v>
      </c>
      <c r="M27">
        <f t="shared" si="8"/>
        <v>46.590909090909093</v>
      </c>
      <c r="O27">
        <f>AVERAGE(O2:O24)</f>
        <v>3736.7619047619046</v>
      </c>
      <c r="P27">
        <f>AVERAGE(P2:P24)</f>
        <v>42.61904761904762</v>
      </c>
      <c r="Q27">
        <f>AVERAGE(Q2:Q24)</f>
        <v>50965.809523809527</v>
      </c>
      <c r="R27">
        <f>AVERAGE(R2:R24)</f>
        <v>61761.142857142855</v>
      </c>
      <c r="T27" s="4">
        <f t="shared" ref="T27:AA27" si="9">AVERAGE(T2:T24)</f>
        <v>6.8612486803766123E-2</v>
      </c>
      <c r="U27" s="4">
        <f t="shared" si="9"/>
        <v>0.63226770590283743</v>
      </c>
      <c r="V27" s="4">
        <f t="shared" si="9"/>
        <v>0.99258505084390136</v>
      </c>
      <c r="W27" s="4">
        <f t="shared" si="9"/>
        <v>0.29952312109171925</v>
      </c>
      <c r="X27" s="4">
        <f t="shared" si="9"/>
        <v>0.64158757164937885</v>
      </c>
      <c r="Y27" s="5">
        <f t="shared" si="9"/>
        <v>21.853174603174605</v>
      </c>
      <c r="Z27" s="4">
        <f t="shared" si="9"/>
        <v>0.93138751319623381</v>
      </c>
      <c r="AA27" s="4">
        <f t="shared" si="9"/>
        <v>0.35841242835062104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opLeftCell="A4" workbookViewId="0">
      <selection activeCell="B21" sqref="B21:R21"/>
    </sheetView>
  </sheetViews>
  <sheetFormatPr baseColWidth="10" defaultRowHeight="16" x14ac:dyDescent="0.2"/>
  <cols>
    <col min="2" max="2" width="13.5" bestFit="1" customWidth="1"/>
    <col min="3" max="3" width="10.6640625" bestFit="1" customWidth="1"/>
    <col min="4" max="4" width="13.1640625" bestFit="1" customWidth="1"/>
    <col min="5" max="5" width="7" bestFit="1" customWidth="1"/>
    <col min="7" max="7" width="12" bestFit="1" customWidth="1"/>
    <col min="8" max="8" width="13.33203125" bestFit="1" customWidth="1"/>
    <col min="9" max="9" width="11.1640625" bestFit="1" customWidth="1"/>
    <col min="10" max="10" width="13" bestFit="1" customWidth="1"/>
    <col min="11" max="11" width="8.83203125" bestFit="1" customWidth="1"/>
    <col min="14" max="14" width="3.5" style="2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14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8</v>
      </c>
      <c r="M1" s="1" t="s">
        <v>9</v>
      </c>
      <c r="O1" s="1" t="s">
        <v>12</v>
      </c>
      <c r="P1" s="1" t="s">
        <v>6</v>
      </c>
      <c r="Q1" s="1" t="s">
        <v>7</v>
      </c>
      <c r="R1" s="1" t="s">
        <v>10</v>
      </c>
    </row>
    <row r="2" spans="1:18" x14ac:dyDescent="0.2">
      <c r="A2">
        <v>0</v>
      </c>
      <c r="B2">
        <v>1</v>
      </c>
      <c r="C2">
        <v>732</v>
      </c>
      <c r="D2">
        <v>0</v>
      </c>
      <c r="E2">
        <v>404</v>
      </c>
      <c r="F2">
        <v>2288</v>
      </c>
      <c r="G2">
        <v>185</v>
      </c>
      <c r="H2">
        <v>403</v>
      </c>
      <c r="I2">
        <v>4</v>
      </c>
      <c r="J2">
        <v>2096</v>
      </c>
      <c r="K2">
        <v>2310</v>
      </c>
      <c r="L2">
        <v>6</v>
      </c>
      <c r="M2">
        <v>26</v>
      </c>
      <c r="O2">
        <v>3159</v>
      </c>
      <c r="P2">
        <v>35</v>
      </c>
      <c r="Q2">
        <v>2436</v>
      </c>
      <c r="R2">
        <v>2310</v>
      </c>
    </row>
    <row r="3" spans="1:18" x14ac:dyDescent="0.2">
      <c r="A3" s="3">
        <v>1</v>
      </c>
      <c r="B3" s="3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>
        <v>3480</v>
      </c>
      <c r="P3" s="3"/>
      <c r="Q3" s="3"/>
      <c r="R3" s="3"/>
    </row>
    <row r="4" spans="1:18" x14ac:dyDescent="0.2">
      <c r="A4">
        <v>2</v>
      </c>
      <c r="B4">
        <v>4</v>
      </c>
      <c r="C4">
        <v>723</v>
      </c>
      <c r="D4">
        <v>0</v>
      </c>
      <c r="E4">
        <v>374</v>
      </c>
      <c r="F4">
        <v>2193</v>
      </c>
      <c r="G4">
        <v>180</v>
      </c>
      <c r="H4">
        <v>370</v>
      </c>
      <c r="I4">
        <v>8</v>
      </c>
      <c r="J4">
        <v>18716624</v>
      </c>
      <c r="K4">
        <v>731132</v>
      </c>
      <c r="L4">
        <v>15</v>
      </c>
      <c r="M4">
        <v>45</v>
      </c>
      <c r="O4" s="3">
        <v>2907</v>
      </c>
      <c r="P4" s="3"/>
      <c r="Q4" s="3"/>
      <c r="R4" s="3"/>
    </row>
    <row r="5" spans="1:18" x14ac:dyDescent="0.2">
      <c r="A5">
        <v>3</v>
      </c>
      <c r="B5">
        <v>10</v>
      </c>
      <c r="C5">
        <v>645</v>
      </c>
      <c r="D5">
        <v>0</v>
      </c>
      <c r="E5">
        <v>361</v>
      </c>
      <c r="F5">
        <v>2000</v>
      </c>
      <c r="G5">
        <v>165</v>
      </c>
      <c r="H5">
        <v>7</v>
      </c>
      <c r="I5">
        <v>6</v>
      </c>
      <c r="J5">
        <v>1217</v>
      </c>
      <c r="K5">
        <v>1439</v>
      </c>
      <c r="L5">
        <v>3</v>
      </c>
      <c r="M5">
        <v>26</v>
      </c>
      <c r="O5">
        <v>2741</v>
      </c>
      <c r="P5">
        <v>36</v>
      </c>
      <c r="Q5">
        <v>1420</v>
      </c>
      <c r="R5">
        <v>1430</v>
      </c>
    </row>
    <row r="6" spans="1:18" x14ac:dyDescent="0.2">
      <c r="A6">
        <v>4</v>
      </c>
      <c r="B6">
        <v>1</v>
      </c>
      <c r="C6">
        <v>838</v>
      </c>
      <c r="D6">
        <v>0</v>
      </c>
      <c r="E6">
        <v>418</v>
      </c>
      <c r="F6">
        <v>2848</v>
      </c>
      <c r="G6">
        <v>295</v>
      </c>
      <c r="H6">
        <v>417</v>
      </c>
      <c r="I6">
        <v>2</v>
      </c>
      <c r="J6">
        <v>2124</v>
      </c>
      <c r="K6">
        <v>2002</v>
      </c>
      <c r="L6">
        <v>2</v>
      </c>
      <c r="M6">
        <v>23</v>
      </c>
      <c r="O6">
        <v>3621</v>
      </c>
      <c r="P6">
        <v>52</v>
      </c>
      <c r="Q6">
        <v>2567</v>
      </c>
      <c r="R6">
        <v>2002</v>
      </c>
    </row>
    <row r="7" spans="1:18" x14ac:dyDescent="0.2">
      <c r="A7">
        <v>5</v>
      </c>
      <c r="B7">
        <v>1</v>
      </c>
      <c r="C7">
        <v>1080</v>
      </c>
      <c r="D7">
        <v>0</v>
      </c>
      <c r="E7">
        <v>345</v>
      </c>
      <c r="F7">
        <v>6150</v>
      </c>
      <c r="G7">
        <v>728</v>
      </c>
      <c r="H7">
        <v>344</v>
      </c>
      <c r="I7">
        <v>12</v>
      </c>
      <c r="J7">
        <v>1004</v>
      </c>
      <c r="K7">
        <v>440</v>
      </c>
      <c r="L7">
        <v>6</v>
      </c>
      <c r="M7">
        <v>99</v>
      </c>
      <c r="O7">
        <v>5708</v>
      </c>
      <c r="P7">
        <v>60</v>
      </c>
      <c r="Q7">
        <v>1034</v>
      </c>
      <c r="R7">
        <v>440</v>
      </c>
    </row>
    <row r="8" spans="1:18" x14ac:dyDescent="0.2">
      <c r="A8">
        <v>6</v>
      </c>
      <c r="B8">
        <v>1</v>
      </c>
      <c r="C8">
        <v>732</v>
      </c>
      <c r="D8">
        <v>0</v>
      </c>
      <c r="E8">
        <v>404</v>
      </c>
      <c r="F8">
        <v>2288</v>
      </c>
      <c r="G8">
        <v>185</v>
      </c>
      <c r="H8">
        <v>403</v>
      </c>
      <c r="I8">
        <v>2</v>
      </c>
      <c r="J8">
        <v>2413</v>
      </c>
      <c r="K8">
        <v>2310</v>
      </c>
      <c r="L8">
        <v>3</v>
      </c>
      <c r="M8">
        <v>25</v>
      </c>
      <c r="O8">
        <v>3159</v>
      </c>
      <c r="P8">
        <v>38</v>
      </c>
      <c r="Q8">
        <v>2484</v>
      </c>
      <c r="R8">
        <v>2310</v>
      </c>
    </row>
    <row r="9" spans="1:18" x14ac:dyDescent="0.2">
      <c r="A9">
        <v>7</v>
      </c>
      <c r="B9">
        <v>1</v>
      </c>
      <c r="C9">
        <v>732</v>
      </c>
      <c r="D9">
        <v>0</v>
      </c>
      <c r="E9">
        <v>404</v>
      </c>
      <c r="F9">
        <v>2318</v>
      </c>
      <c r="G9">
        <v>185</v>
      </c>
      <c r="H9">
        <v>403</v>
      </c>
      <c r="I9">
        <v>2</v>
      </c>
      <c r="J9">
        <v>2377</v>
      </c>
      <c r="K9">
        <v>2310</v>
      </c>
      <c r="L9">
        <v>3</v>
      </c>
      <c r="M9">
        <v>34</v>
      </c>
      <c r="O9">
        <v>3175</v>
      </c>
      <c r="P9">
        <v>41</v>
      </c>
      <c r="Q9">
        <v>2472</v>
      </c>
      <c r="R9">
        <v>2310</v>
      </c>
    </row>
    <row r="10" spans="1:18" x14ac:dyDescent="0.2">
      <c r="A10">
        <v>8</v>
      </c>
      <c r="B10">
        <v>11</v>
      </c>
      <c r="C10">
        <v>668</v>
      </c>
      <c r="D10">
        <v>0</v>
      </c>
      <c r="E10">
        <v>345</v>
      </c>
      <c r="F10">
        <v>2563</v>
      </c>
      <c r="G10">
        <v>204</v>
      </c>
      <c r="H10">
        <v>7</v>
      </c>
      <c r="I10">
        <v>9</v>
      </c>
      <c r="J10">
        <v>14455</v>
      </c>
      <c r="K10">
        <v>6875</v>
      </c>
      <c r="L10">
        <v>3</v>
      </c>
      <c r="M10">
        <v>34</v>
      </c>
      <c r="O10">
        <v>3154</v>
      </c>
      <c r="P10">
        <v>43</v>
      </c>
      <c r="Q10">
        <v>13439</v>
      </c>
      <c r="R10">
        <v>13728</v>
      </c>
    </row>
    <row r="11" spans="1:18" x14ac:dyDescent="0.2">
      <c r="A11">
        <v>9</v>
      </c>
      <c r="B11">
        <v>1</v>
      </c>
      <c r="C11">
        <v>732</v>
      </c>
      <c r="D11">
        <v>0</v>
      </c>
      <c r="E11">
        <v>404</v>
      </c>
      <c r="F11">
        <v>2288</v>
      </c>
      <c r="G11">
        <v>185</v>
      </c>
      <c r="H11">
        <v>403</v>
      </c>
      <c r="I11">
        <v>4</v>
      </c>
      <c r="J11">
        <v>2058</v>
      </c>
      <c r="K11">
        <v>2310</v>
      </c>
      <c r="L11">
        <v>2</v>
      </c>
      <c r="M11">
        <v>24</v>
      </c>
      <c r="O11">
        <v>3159</v>
      </c>
      <c r="P11">
        <v>38</v>
      </c>
      <c r="Q11">
        <v>2467</v>
      </c>
      <c r="R11">
        <v>2310</v>
      </c>
    </row>
    <row r="12" spans="1:18" x14ac:dyDescent="0.2">
      <c r="A12">
        <v>10</v>
      </c>
      <c r="B12">
        <v>1</v>
      </c>
      <c r="C12">
        <v>1080</v>
      </c>
      <c r="D12">
        <v>0</v>
      </c>
      <c r="E12">
        <v>345</v>
      </c>
      <c r="F12">
        <v>6263</v>
      </c>
      <c r="G12">
        <v>728</v>
      </c>
      <c r="H12">
        <v>344</v>
      </c>
      <c r="I12">
        <v>7</v>
      </c>
      <c r="J12">
        <v>12382</v>
      </c>
      <c r="K12">
        <v>5304</v>
      </c>
      <c r="L12">
        <v>3</v>
      </c>
      <c r="M12">
        <v>132</v>
      </c>
      <c r="O12">
        <v>5837</v>
      </c>
      <c r="P12">
        <v>54</v>
      </c>
      <c r="Q12">
        <v>9768</v>
      </c>
      <c r="R12">
        <v>5304</v>
      </c>
    </row>
    <row r="13" spans="1:18" x14ac:dyDescent="0.2">
      <c r="A13">
        <v>11</v>
      </c>
      <c r="B13">
        <v>1</v>
      </c>
      <c r="C13">
        <v>732</v>
      </c>
      <c r="D13">
        <v>0</v>
      </c>
      <c r="E13">
        <v>404</v>
      </c>
      <c r="F13">
        <v>2273</v>
      </c>
      <c r="G13">
        <v>185</v>
      </c>
      <c r="H13">
        <v>403</v>
      </c>
      <c r="I13">
        <v>1</v>
      </c>
      <c r="J13">
        <v>1266</v>
      </c>
      <c r="K13">
        <v>1300</v>
      </c>
      <c r="L13">
        <v>2</v>
      </c>
      <c r="M13">
        <v>24</v>
      </c>
      <c r="O13">
        <v>3147</v>
      </c>
      <c r="P13">
        <v>40</v>
      </c>
      <c r="Q13">
        <v>1676</v>
      </c>
      <c r="R13">
        <v>1300</v>
      </c>
    </row>
    <row r="14" spans="1:18" x14ac:dyDescent="0.2">
      <c r="A14">
        <v>12</v>
      </c>
      <c r="B14">
        <v>8</v>
      </c>
      <c r="C14">
        <v>1330</v>
      </c>
      <c r="D14">
        <v>0</v>
      </c>
      <c r="E14">
        <v>301</v>
      </c>
      <c r="F14">
        <v>7629</v>
      </c>
      <c r="G14">
        <v>1010</v>
      </c>
      <c r="H14">
        <v>293</v>
      </c>
      <c r="I14">
        <v>4</v>
      </c>
      <c r="J14">
        <v>26</v>
      </c>
      <c r="K14">
        <v>28</v>
      </c>
      <c r="L14">
        <v>5</v>
      </c>
      <c r="M14">
        <v>73</v>
      </c>
      <c r="O14" s="3">
        <v>6877</v>
      </c>
      <c r="P14" s="3"/>
      <c r="Q14" s="3"/>
      <c r="R14" s="3"/>
    </row>
    <row r="15" spans="1:18" x14ac:dyDescent="0.2">
      <c r="A15">
        <v>13</v>
      </c>
      <c r="B15">
        <v>1</v>
      </c>
      <c r="C15">
        <v>732</v>
      </c>
      <c r="D15">
        <v>0</v>
      </c>
      <c r="E15">
        <v>404</v>
      </c>
      <c r="F15">
        <v>2273</v>
      </c>
      <c r="G15">
        <v>185</v>
      </c>
      <c r="H15">
        <v>403</v>
      </c>
      <c r="I15">
        <v>3</v>
      </c>
      <c r="J15">
        <v>1611</v>
      </c>
      <c r="K15">
        <v>1300</v>
      </c>
      <c r="L15">
        <v>2</v>
      </c>
      <c r="M15">
        <v>31</v>
      </c>
      <c r="O15">
        <v>3146</v>
      </c>
      <c r="P15">
        <v>43</v>
      </c>
      <c r="Q15">
        <v>1403</v>
      </c>
      <c r="R15">
        <v>1300</v>
      </c>
    </row>
    <row r="16" spans="1:18" x14ac:dyDescent="0.2">
      <c r="A16" s="3">
        <v>14</v>
      </c>
      <c r="B16" s="3">
        <v>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3">
        <v>3761</v>
      </c>
      <c r="P16" s="3"/>
      <c r="Q16" s="3"/>
      <c r="R16" s="3"/>
    </row>
    <row r="17" spans="1:18" x14ac:dyDescent="0.2">
      <c r="A17">
        <v>15</v>
      </c>
      <c r="B17">
        <v>1</v>
      </c>
      <c r="C17">
        <v>732</v>
      </c>
      <c r="D17">
        <v>0</v>
      </c>
      <c r="E17">
        <v>404</v>
      </c>
      <c r="F17">
        <v>2288</v>
      </c>
      <c r="G17">
        <v>185</v>
      </c>
      <c r="H17">
        <v>403</v>
      </c>
      <c r="I17">
        <v>2</v>
      </c>
      <c r="J17">
        <v>2190</v>
      </c>
      <c r="K17">
        <v>2310</v>
      </c>
      <c r="L17">
        <v>2</v>
      </c>
      <c r="M17">
        <v>36</v>
      </c>
      <c r="O17">
        <v>3159</v>
      </c>
      <c r="P17">
        <v>35</v>
      </c>
      <c r="Q17">
        <v>3358</v>
      </c>
      <c r="R17">
        <v>2310</v>
      </c>
    </row>
    <row r="18" spans="1:18" x14ac:dyDescent="0.2">
      <c r="A18">
        <v>16</v>
      </c>
      <c r="B18">
        <v>1</v>
      </c>
      <c r="C18">
        <v>732</v>
      </c>
      <c r="D18">
        <v>0</v>
      </c>
      <c r="E18">
        <v>404</v>
      </c>
      <c r="F18">
        <v>2288</v>
      </c>
      <c r="G18">
        <v>185</v>
      </c>
      <c r="H18">
        <v>403</v>
      </c>
      <c r="I18">
        <v>1</v>
      </c>
      <c r="J18">
        <v>2479</v>
      </c>
      <c r="K18">
        <v>2310</v>
      </c>
      <c r="L18">
        <v>4</v>
      </c>
      <c r="M18">
        <v>25</v>
      </c>
      <c r="O18">
        <v>3160</v>
      </c>
      <c r="P18">
        <v>29</v>
      </c>
      <c r="Q18">
        <v>3449</v>
      </c>
      <c r="R18">
        <v>2310</v>
      </c>
    </row>
    <row r="19" spans="1:18" x14ac:dyDescent="0.2">
      <c r="A19">
        <v>17</v>
      </c>
      <c r="B19">
        <v>1</v>
      </c>
      <c r="C19">
        <v>732</v>
      </c>
      <c r="D19">
        <v>0</v>
      </c>
      <c r="E19">
        <v>383</v>
      </c>
      <c r="F19">
        <v>2348</v>
      </c>
      <c r="G19">
        <v>185</v>
      </c>
      <c r="H19">
        <v>382</v>
      </c>
      <c r="I19">
        <v>2</v>
      </c>
      <c r="J19">
        <v>307649</v>
      </c>
      <c r="K19">
        <v>50540</v>
      </c>
      <c r="L19">
        <v>2</v>
      </c>
      <c r="M19">
        <v>25</v>
      </c>
      <c r="O19" s="3">
        <v>3161</v>
      </c>
      <c r="P19" s="3"/>
      <c r="Q19" s="3"/>
      <c r="R19" s="3"/>
    </row>
    <row r="20" spans="1:18" x14ac:dyDescent="0.2">
      <c r="A20">
        <v>18</v>
      </c>
      <c r="B20">
        <v>1</v>
      </c>
      <c r="C20">
        <v>732</v>
      </c>
      <c r="D20">
        <v>0</v>
      </c>
      <c r="E20">
        <v>404</v>
      </c>
      <c r="F20">
        <v>2273</v>
      </c>
      <c r="G20">
        <v>185</v>
      </c>
      <c r="H20">
        <v>403</v>
      </c>
      <c r="I20">
        <v>1</v>
      </c>
      <c r="J20">
        <v>1208</v>
      </c>
      <c r="K20">
        <v>1300</v>
      </c>
      <c r="L20">
        <v>3</v>
      </c>
      <c r="M20">
        <v>23</v>
      </c>
      <c r="O20">
        <v>3147</v>
      </c>
      <c r="P20">
        <v>43</v>
      </c>
      <c r="Q20">
        <v>1692</v>
      </c>
      <c r="R20">
        <v>1300</v>
      </c>
    </row>
    <row r="21" spans="1:18" x14ac:dyDescent="0.2">
      <c r="A21">
        <v>19</v>
      </c>
      <c r="B21">
        <v>1</v>
      </c>
      <c r="C21">
        <v>732</v>
      </c>
      <c r="D21">
        <v>0</v>
      </c>
      <c r="E21">
        <v>404</v>
      </c>
      <c r="F21">
        <v>2273</v>
      </c>
      <c r="G21">
        <v>185</v>
      </c>
      <c r="H21">
        <v>403</v>
      </c>
      <c r="I21">
        <v>6</v>
      </c>
      <c r="J21">
        <v>1613</v>
      </c>
      <c r="K21">
        <v>1300</v>
      </c>
      <c r="L21">
        <v>2</v>
      </c>
      <c r="M21">
        <v>31</v>
      </c>
      <c r="O21">
        <v>3146</v>
      </c>
      <c r="P21">
        <v>42</v>
      </c>
      <c r="Q21">
        <v>1543</v>
      </c>
      <c r="R21">
        <v>1300</v>
      </c>
    </row>
    <row r="22" spans="1:18" x14ac:dyDescent="0.2">
      <c r="A22">
        <v>20</v>
      </c>
      <c r="B22">
        <v>2</v>
      </c>
      <c r="C22">
        <v>709</v>
      </c>
      <c r="D22">
        <v>0</v>
      </c>
      <c r="E22">
        <v>400</v>
      </c>
      <c r="F22">
        <v>1704</v>
      </c>
      <c r="G22">
        <v>144</v>
      </c>
      <c r="H22">
        <v>398</v>
      </c>
      <c r="I22">
        <v>3</v>
      </c>
      <c r="J22">
        <v>5109</v>
      </c>
      <c r="K22">
        <v>5321</v>
      </c>
      <c r="L22">
        <v>2</v>
      </c>
      <c r="M22">
        <v>21</v>
      </c>
      <c r="O22" s="3">
        <v>2702</v>
      </c>
      <c r="P22" s="3"/>
      <c r="Q22" s="3"/>
      <c r="R22" s="3"/>
    </row>
    <row r="23" spans="1:18" x14ac:dyDescent="0.2">
      <c r="A23">
        <v>21</v>
      </c>
      <c r="B23">
        <v>2</v>
      </c>
      <c r="C23">
        <v>709</v>
      </c>
      <c r="D23">
        <v>0</v>
      </c>
      <c r="E23">
        <v>400</v>
      </c>
      <c r="F23">
        <v>1704</v>
      </c>
      <c r="G23">
        <v>144</v>
      </c>
      <c r="H23">
        <v>398</v>
      </c>
      <c r="I23">
        <v>3</v>
      </c>
      <c r="J23">
        <v>5657</v>
      </c>
      <c r="K23">
        <v>5329</v>
      </c>
      <c r="L23">
        <v>2</v>
      </c>
      <c r="M23">
        <v>26</v>
      </c>
      <c r="O23" s="3">
        <v>2689</v>
      </c>
      <c r="P23" s="3"/>
      <c r="Q23" s="3"/>
      <c r="R23" s="3"/>
    </row>
    <row r="24" spans="1:18" x14ac:dyDescent="0.2">
      <c r="A24">
        <v>22</v>
      </c>
      <c r="B24">
        <v>2</v>
      </c>
      <c r="C24">
        <v>732</v>
      </c>
      <c r="D24">
        <v>0</v>
      </c>
      <c r="E24">
        <v>404</v>
      </c>
      <c r="F24">
        <v>2288</v>
      </c>
      <c r="G24">
        <v>185</v>
      </c>
      <c r="H24">
        <v>402</v>
      </c>
      <c r="I24">
        <v>2</v>
      </c>
      <c r="J24">
        <v>3452</v>
      </c>
      <c r="K24">
        <v>2311</v>
      </c>
      <c r="L24">
        <v>2</v>
      </c>
      <c r="M24">
        <v>35</v>
      </c>
      <c r="O24">
        <v>3144</v>
      </c>
      <c r="P24">
        <v>31</v>
      </c>
      <c r="Q24">
        <v>3478</v>
      </c>
      <c r="R24">
        <v>2310</v>
      </c>
    </row>
    <row r="25" spans="1:18" x14ac:dyDescent="0.2">
      <c r="A25">
        <v>23</v>
      </c>
      <c r="B25">
        <v>1</v>
      </c>
      <c r="C25">
        <v>732</v>
      </c>
      <c r="D25">
        <v>0</v>
      </c>
      <c r="E25">
        <v>404</v>
      </c>
      <c r="F25">
        <v>2393</v>
      </c>
      <c r="G25">
        <v>185</v>
      </c>
      <c r="H25">
        <v>403</v>
      </c>
      <c r="I25">
        <v>2</v>
      </c>
      <c r="J25">
        <v>1230</v>
      </c>
      <c r="K25">
        <v>1300</v>
      </c>
      <c r="L25">
        <v>3</v>
      </c>
      <c r="M25">
        <v>45</v>
      </c>
      <c r="O25">
        <v>3211</v>
      </c>
      <c r="P25">
        <v>36</v>
      </c>
      <c r="Q25">
        <v>1552</v>
      </c>
      <c r="R25">
        <v>1300</v>
      </c>
    </row>
    <row r="26" spans="1:18" x14ac:dyDescent="0.2">
      <c r="A26">
        <v>24</v>
      </c>
      <c r="B26">
        <v>1</v>
      </c>
      <c r="C26">
        <v>1080</v>
      </c>
      <c r="D26">
        <v>0</v>
      </c>
      <c r="E26">
        <v>345</v>
      </c>
      <c r="F26">
        <v>6150</v>
      </c>
      <c r="G26">
        <v>728</v>
      </c>
      <c r="H26">
        <v>344</v>
      </c>
      <c r="I26">
        <v>12</v>
      </c>
      <c r="J26">
        <v>929</v>
      </c>
      <c r="K26">
        <v>440</v>
      </c>
      <c r="L26">
        <v>7</v>
      </c>
      <c r="M26">
        <v>91</v>
      </c>
      <c r="O26">
        <v>5708</v>
      </c>
      <c r="P26">
        <v>49</v>
      </c>
      <c r="Q26">
        <v>1379</v>
      </c>
      <c r="R26">
        <v>440</v>
      </c>
    </row>
    <row r="27" spans="1:18" x14ac:dyDescent="0.2">
      <c r="A27">
        <v>25</v>
      </c>
      <c r="B27">
        <v>6</v>
      </c>
      <c r="C27">
        <v>1080</v>
      </c>
      <c r="D27">
        <v>0</v>
      </c>
      <c r="E27">
        <v>329</v>
      </c>
      <c r="F27">
        <v>6237</v>
      </c>
      <c r="G27">
        <v>728</v>
      </c>
      <c r="H27">
        <v>323</v>
      </c>
      <c r="I27">
        <v>11</v>
      </c>
      <c r="J27">
        <v>32</v>
      </c>
      <c r="K27">
        <v>20</v>
      </c>
      <c r="L27">
        <v>4</v>
      </c>
      <c r="M27">
        <v>133</v>
      </c>
      <c r="O27" s="3">
        <v>5798</v>
      </c>
      <c r="P27" s="3"/>
      <c r="Q27" s="3"/>
      <c r="R27" s="3"/>
    </row>
    <row r="28" spans="1:18" x14ac:dyDescent="0.2">
      <c r="A28">
        <v>26</v>
      </c>
      <c r="B28">
        <v>1</v>
      </c>
      <c r="C28">
        <v>723</v>
      </c>
      <c r="D28">
        <v>0</v>
      </c>
      <c r="E28">
        <v>418</v>
      </c>
      <c r="F28">
        <v>2193</v>
      </c>
      <c r="G28">
        <v>180</v>
      </c>
      <c r="H28">
        <v>417</v>
      </c>
      <c r="I28">
        <v>3</v>
      </c>
      <c r="J28">
        <v>1842</v>
      </c>
      <c r="K28">
        <v>1430</v>
      </c>
      <c r="L28">
        <v>2</v>
      </c>
      <c r="M28">
        <v>39</v>
      </c>
      <c r="O28">
        <v>2983</v>
      </c>
      <c r="P28">
        <v>32</v>
      </c>
      <c r="Q28">
        <v>1611</v>
      </c>
      <c r="R28">
        <v>1430</v>
      </c>
    </row>
    <row r="29" spans="1:18" x14ac:dyDescent="0.2">
      <c r="A29">
        <v>27</v>
      </c>
      <c r="B29">
        <v>1</v>
      </c>
      <c r="C29">
        <v>732</v>
      </c>
      <c r="D29">
        <v>0</v>
      </c>
      <c r="E29">
        <v>404</v>
      </c>
      <c r="F29">
        <v>2233</v>
      </c>
      <c r="G29">
        <v>185</v>
      </c>
      <c r="H29">
        <v>403</v>
      </c>
      <c r="I29">
        <v>6</v>
      </c>
      <c r="J29">
        <v>2000</v>
      </c>
      <c r="K29">
        <v>2314</v>
      </c>
      <c r="L29">
        <v>2</v>
      </c>
      <c r="M29">
        <v>31</v>
      </c>
      <c r="O29">
        <v>3122</v>
      </c>
      <c r="P29">
        <v>39</v>
      </c>
      <c r="Q29">
        <v>2376</v>
      </c>
      <c r="R29">
        <v>2314</v>
      </c>
    </row>
    <row r="30" spans="1:18" x14ac:dyDescent="0.2">
      <c r="A30">
        <v>28</v>
      </c>
      <c r="B30">
        <v>2</v>
      </c>
      <c r="C30">
        <v>709</v>
      </c>
      <c r="D30">
        <v>0</v>
      </c>
      <c r="E30">
        <v>400</v>
      </c>
      <c r="F30">
        <v>1704</v>
      </c>
      <c r="G30">
        <v>144</v>
      </c>
      <c r="H30">
        <v>398</v>
      </c>
      <c r="I30">
        <v>2</v>
      </c>
      <c r="J30">
        <v>7789</v>
      </c>
      <c r="K30">
        <v>5322</v>
      </c>
      <c r="L30">
        <v>2</v>
      </c>
      <c r="M30">
        <v>24</v>
      </c>
      <c r="O30" s="3">
        <v>2698</v>
      </c>
      <c r="P30" s="3"/>
      <c r="Q30" s="3"/>
      <c r="R30" s="3"/>
    </row>
    <row r="31" spans="1:18" x14ac:dyDescent="0.2">
      <c r="A31">
        <v>29</v>
      </c>
      <c r="B31">
        <v>1</v>
      </c>
      <c r="C31">
        <v>732</v>
      </c>
      <c r="D31">
        <v>0</v>
      </c>
      <c r="E31">
        <v>404</v>
      </c>
      <c r="F31">
        <v>2318</v>
      </c>
      <c r="G31">
        <v>185</v>
      </c>
      <c r="H31">
        <v>403</v>
      </c>
      <c r="I31">
        <v>1</v>
      </c>
      <c r="J31">
        <v>2445</v>
      </c>
      <c r="K31">
        <v>2310</v>
      </c>
      <c r="L31">
        <v>9</v>
      </c>
      <c r="M31">
        <v>31</v>
      </c>
      <c r="O31">
        <v>3175</v>
      </c>
      <c r="P31">
        <v>34</v>
      </c>
      <c r="Q31">
        <v>2586</v>
      </c>
      <c r="R31">
        <v>2310</v>
      </c>
    </row>
    <row r="32" spans="1:18" x14ac:dyDescent="0.2">
      <c r="A32" t="s">
        <v>11</v>
      </c>
      <c r="B32">
        <v>14</v>
      </c>
      <c r="C32">
        <v>889</v>
      </c>
      <c r="D32">
        <v>0</v>
      </c>
      <c r="E32">
        <v>422</v>
      </c>
      <c r="F32">
        <v>4149</v>
      </c>
      <c r="G32">
        <v>324</v>
      </c>
      <c r="H32">
        <v>408</v>
      </c>
      <c r="I32">
        <v>48</v>
      </c>
      <c r="J32">
        <v>512314</v>
      </c>
      <c r="K32">
        <v>48631</v>
      </c>
      <c r="L32">
        <v>17</v>
      </c>
      <c r="M32">
        <v>195</v>
      </c>
    </row>
  </sheetData>
  <sortState ref="A2:M32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decider_paired_res (2)</vt:lpstr>
      <vt:lpstr>decider_paired_res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2017-05-06T00:56:29Z</dcterms:created>
  <dcterms:modified xsi:type="dcterms:W3CDTF">2017-05-10T18:33:36Z</dcterms:modified>
</cp:coreProperties>
</file>