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7640" yWindow="620" windowWidth="25600" windowHeight="13720" tabRatio="500" activeTab="1"/>
  </bookViews>
  <sheets>
    <sheet name="ecom_paired_res (3)" sheetId="3" r:id="rId1"/>
    <sheet name="ecom_paired_res (2)" sheetId="2" r:id="rId2"/>
    <sheet name="ecom_paired_res" sheetId="1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2" i="3" l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31" i="3"/>
  <c r="T2" i="3"/>
  <c r="Z2" i="3"/>
  <c r="T3" i="3"/>
  <c r="Z3" i="3"/>
  <c r="T4" i="3"/>
  <c r="Z4" i="3"/>
  <c r="T5" i="3"/>
  <c r="Z5" i="3"/>
  <c r="T6" i="3"/>
  <c r="Z6" i="3"/>
  <c r="T7" i="3"/>
  <c r="Z7" i="3"/>
  <c r="T8" i="3"/>
  <c r="Z8" i="3"/>
  <c r="T9" i="3"/>
  <c r="Z9" i="3"/>
  <c r="T10" i="3"/>
  <c r="Z10" i="3"/>
  <c r="T11" i="3"/>
  <c r="Z11" i="3"/>
  <c r="T12" i="3"/>
  <c r="Z12" i="3"/>
  <c r="T13" i="3"/>
  <c r="Z13" i="3"/>
  <c r="T14" i="3"/>
  <c r="Z14" i="3"/>
  <c r="T15" i="3"/>
  <c r="Z15" i="3"/>
  <c r="T16" i="3"/>
  <c r="Z16" i="3"/>
  <c r="T17" i="3"/>
  <c r="Z17" i="3"/>
  <c r="T18" i="3"/>
  <c r="Z18" i="3"/>
  <c r="T19" i="3"/>
  <c r="Z19" i="3"/>
  <c r="T20" i="3"/>
  <c r="Z20" i="3"/>
  <c r="T21" i="3"/>
  <c r="Z21" i="3"/>
  <c r="T22" i="3"/>
  <c r="Z22" i="3"/>
  <c r="T23" i="3"/>
  <c r="Z23" i="3"/>
  <c r="T24" i="3"/>
  <c r="Z24" i="3"/>
  <c r="T25" i="3"/>
  <c r="Z25" i="3"/>
  <c r="T26" i="3"/>
  <c r="Z26" i="3"/>
  <c r="Z31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31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31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31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31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31" i="3"/>
  <c r="T31" i="3"/>
  <c r="R31" i="3"/>
  <c r="Q31" i="3"/>
  <c r="P31" i="3"/>
  <c r="O31" i="3"/>
  <c r="M31" i="3"/>
  <c r="L31" i="3"/>
  <c r="K31" i="3"/>
  <c r="J31" i="3"/>
  <c r="I31" i="3"/>
  <c r="H31" i="3"/>
  <c r="G31" i="3"/>
  <c r="F31" i="3"/>
  <c r="E31" i="3"/>
  <c r="D31" i="3"/>
  <c r="C31" i="3"/>
  <c r="B31" i="3"/>
  <c r="B33" i="2"/>
  <c r="C33" i="2"/>
  <c r="D33" i="2"/>
  <c r="E33" i="2"/>
  <c r="F33" i="2"/>
  <c r="G33" i="2"/>
  <c r="H33" i="2"/>
  <c r="I33" i="2"/>
  <c r="J33" i="2"/>
  <c r="K33" i="2"/>
  <c r="L33" i="2"/>
  <c r="M33" i="2"/>
  <c r="O33" i="2"/>
  <c r="P33" i="2"/>
  <c r="Q33" i="2"/>
  <c r="R33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33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33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33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33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33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33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33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33" i="2"/>
</calcChain>
</file>

<file path=xl/sharedStrings.xml><?xml version="1.0" encoding="utf-8"?>
<sst xmlns="http://schemas.openxmlformats.org/spreadsheetml/2006/main" count="72" uniqueCount="24">
  <si>
    <t>Mutantion</t>
  </si>
  <si>
    <t>Unsolved Slices</t>
  </si>
  <si>
    <t>Total # Vars</t>
  </si>
  <si>
    <t># Slices</t>
  </si>
  <si>
    <t>repeated slices</t>
  </si>
  <si>
    <t>first sol time</t>
  </si>
  <si>
    <t>whole sol time</t>
  </si>
  <si>
    <t>Slice time</t>
  </si>
  <si>
    <t>Canonize Time</t>
  </si>
  <si>
    <t># sat calls</t>
  </si>
  <si>
    <t># of clauses</t>
  </si>
  <si>
    <t>original</t>
  </si>
  <si>
    <t>Total # Clauses</t>
  </si>
  <si>
    <t># clause in the largest slice</t>
  </si>
  <si>
    <t># vars in largest slice</t>
  </si>
  <si>
    <t>Ts-First solution</t>
  </si>
  <si>
    <t>Ts-whole solution</t>
  </si>
  <si>
    <t>Rs-repeated slices</t>
  </si>
  <si>
    <t>Rs-sizeClauses</t>
  </si>
  <si>
    <t>Rs-#Vars</t>
  </si>
  <si>
    <t>1/Ts First</t>
  </si>
  <si>
    <t>1-Ts First</t>
  </si>
  <si>
    <t>1-Rs Vars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</si>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</sst>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4" borderId="0" xfId="0" applyFont="1" applyFill="1"/>
    <xf numFmtId="0" fontId="3" fillId="3" borderId="0" xfId="2"/>
    <xf numFmtId="0" fontId="0" fillId="5" borderId="0" xfId="0" applyFill="1"/>
    <xf numFmtId="2" fontId="0" fillId="0" borderId="0" xfId="0" applyNumberFormat="1"/>
    <xf numFmtId="2" fontId="2" fillId="2" borderId="0" xfId="1" applyNumberFormat="1"/>
    <xf numFmtId="0" fontId="0" fillId="6" borderId="0" xfId="0" applyFill="1"/>
    <xf numFmtId="0" fontId="4" fillId="6" borderId="0" xfId="0" applyFont="1" applyFill="1"/>
    <xf numFmtId="0" fontId="5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Ts-first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'ecom_paired_res (3)'!$T$2:$T$26</c:f>
              <c:numCache>
                <c:formatCode>0.00</c:formatCode>
                <c:ptCount val="25"/>
                <c:pt idx="0">
                  <c:v>0.717948717948718</c:v>
                </c:pt>
                <c:pt idx="1">
                  <c:v>0.948717948717949</c:v>
                </c:pt>
                <c:pt idx="2">
                  <c:v>0.25</c:v>
                </c:pt>
                <c:pt idx="3">
                  <c:v>0.186046511627907</c:v>
                </c:pt>
                <c:pt idx="4">
                  <c:v>0.300970873786408</c:v>
                </c:pt>
                <c:pt idx="5">
                  <c:v>0.28735632183908</c:v>
                </c:pt>
                <c:pt idx="6">
                  <c:v>0.240740740740741</c:v>
                </c:pt>
                <c:pt idx="7">
                  <c:v>0.333333333333333</c:v>
                </c:pt>
                <c:pt idx="8">
                  <c:v>0.483870967741935</c:v>
                </c:pt>
                <c:pt idx="9">
                  <c:v>0.25531914893617</c:v>
                </c:pt>
                <c:pt idx="10">
                  <c:v>0.542857142857143</c:v>
                </c:pt>
                <c:pt idx="11">
                  <c:v>0.00285714285714286</c:v>
                </c:pt>
                <c:pt idx="12">
                  <c:v>0.348837209302326</c:v>
                </c:pt>
                <c:pt idx="13">
                  <c:v>0.186046511627907</c:v>
                </c:pt>
                <c:pt idx="14">
                  <c:v>0.44</c:v>
                </c:pt>
                <c:pt idx="15">
                  <c:v>0.946428571428571</c:v>
                </c:pt>
                <c:pt idx="16">
                  <c:v>0.205128205128205</c:v>
                </c:pt>
                <c:pt idx="17">
                  <c:v>0.268292682926829</c:v>
                </c:pt>
                <c:pt idx="18">
                  <c:v>0.260869565217391</c:v>
                </c:pt>
                <c:pt idx="19">
                  <c:v>0.166666666666667</c:v>
                </c:pt>
                <c:pt idx="20">
                  <c:v>0.431818181818182</c:v>
                </c:pt>
                <c:pt idx="21">
                  <c:v>0.295081967213115</c:v>
                </c:pt>
                <c:pt idx="22">
                  <c:v>0.357142857142857</c:v>
                </c:pt>
                <c:pt idx="23">
                  <c:v>0.285714285714286</c:v>
                </c:pt>
                <c:pt idx="24">
                  <c:v>0.180327868852459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0980224"/>
        <c:axId val="-2040977280"/>
      </c:scatterChart>
      <c:valAx>
        <c:axId val="-20409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0977280"/>
        <c:crosses val="autoZero"/>
        <c:crossBetween val="midCat"/>
      </c:valAx>
      <c:valAx>
        <c:axId val="-2040977280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098022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1-Rs (Vars)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'ecom_paired_res (3)'!$AA$2:$AA$23</c:f>
              <c:numCache>
                <c:formatCode>0.00</c:formatCode>
                <c:ptCount val="22"/>
                <c:pt idx="0">
                  <c:v>0.0989189189189189</c:v>
                </c:pt>
                <c:pt idx="1">
                  <c:v>0.0991831971995332</c:v>
                </c:pt>
                <c:pt idx="2">
                  <c:v>0.129255319148936</c:v>
                </c:pt>
                <c:pt idx="3">
                  <c:v>0.102332979851538</c:v>
                </c:pt>
                <c:pt idx="4">
                  <c:v>0.518453427065026</c:v>
                </c:pt>
                <c:pt idx="5">
                  <c:v>0.473047858942065</c:v>
                </c:pt>
                <c:pt idx="6">
                  <c:v>0.12767094017094</c:v>
                </c:pt>
                <c:pt idx="7">
                  <c:v>0.0686059275521405</c:v>
                </c:pt>
                <c:pt idx="8">
                  <c:v>0.0686059275521405</c:v>
                </c:pt>
                <c:pt idx="9">
                  <c:v>0.102332979851538</c:v>
                </c:pt>
                <c:pt idx="10">
                  <c:v>0.0686059275521405</c:v>
                </c:pt>
                <c:pt idx="11">
                  <c:v>0.00111358574610245</c:v>
                </c:pt>
                <c:pt idx="12">
                  <c:v>0.129255319148936</c:v>
                </c:pt>
                <c:pt idx="13">
                  <c:v>0.0686059275521405</c:v>
                </c:pt>
                <c:pt idx="14">
                  <c:v>0.526462395543176</c:v>
                </c:pt>
                <c:pt idx="15">
                  <c:v>0.191056910569106</c:v>
                </c:pt>
                <c:pt idx="16">
                  <c:v>0.06087437742114</c:v>
                </c:pt>
                <c:pt idx="17">
                  <c:v>0.0989189189189189</c:v>
                </c:pt>
                <c:pt idx="18">
                  <c:v>0.411042944785276</c:v>
                </c:pt>
                <c:pt idx="19">
                  <c:v>0.0686059275521405</c:v>
                </c:pt>
                <c:pt idx="20">
                  <c:v>0.0989189189189189</c:v>
                </c:pt>
                <c:pt idx="21">
                  <c:v>0.567961165048544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439904"/>
        <c:axId val="-2044436960"/>
      </c:scatterChart>
      <c:valAx>
        <c:axId val="-20444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436960"/>
        <c:crosses val="autoZero"/>
        <c:crossBetween val="midCat"/>
      </c:valAx>
      <c:valAx>
        <c:axId val="-2044436960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4399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Ts-whole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'ecom_paired_res (3)'!$U$2:$U$26</c:f>
              <c:numCache>
                <c:formatCode>0.00</c:formatCode>
                <c:ptCount val="25"/>
                <c:pt idx="0">
                  <c:v>0.0532544378698225</c:v>
                </c:pt>
                <c:pt idx="1">
                  <c:v>0.0324253268093186</c:v>
                </c:pt>
                <c:pt idx="2">
                  <c:v>0.00432807185400772</c:v>
                </c:pt>
                <c:pt idx="3">
                  <c:v>0.037037037037037</c:v>
                </c:pt>
                <c:pt idx="4">
                  <c:v>0.695038689121529</c:v>
                </c:pt>
                <c:pt idx="5">
                  <c:v>0.843956043956044</c:v>
                </c:pt>
                <c:pt idx="6">
                  <c:v>0.000385507933227803</c:v>
                </c:pt>
                <c:pt idx="7">
                  <c:v>0.0370450139995692</c:v>
                </c:pt>
                <c:pt idx="8">
                  <c:v>0.0509683995922528</c:v>
                </c:pt>
                <c:pt idx="9">
                  <c:v>0.0763239875389408</c:v>
                </c:pt>
                <c:pt idx="10">
                  <c:v>0.0331313131313131</c:v>
                </c:pt>
                <c:pt idx="11">
                  <c:v>0.00544323483670295</c:v>
                </c:pt>
                <c:pt idx="12">
                  <c:v>0.0448249326664102</c:v>
                </c:pt>
                <c:pt idx="13">
                  <c:v>0.0478927203065134</c:v>
                </c:pt>
                <c:pt idx="14">
                  <c:v>0.913372472276582</c:v>
                </c:pt>
                <c:pt idx="15">
                  <c:v>0.0530546623794212</c:v>
                </c:pt>
                <c:pt idx="16">
                  <c:v>0.0309921513382974</c:v>
                </c:pt>
                <c:pt idx="17">
                  <c:v>0.0328520205446264</c:v>
                </c:pt>
                <c:pt idx="18">
                  <c:v>0.646650769564275</c:v>
                </c:pt>
                <c:pt idx="19">
                  <c:v>0.0433108758421559</c:v>
                </c:pt>
                <c:pt idx="20">
                  <c:v>0.00184719027870842</c:v>
                </c:pt>
                <c:pt idx="21">
                  <c:v>0.503058327363361</c:v>
                </c:pt>
                <c:pt idx="22">
                  <c:v>0.0226824457593688</c:v>
                </c:pt>
                <c:pt idx="23">
                  <c:v>0.0399763103346165</c:v>
                </c:pt>
                <c:pt idx="24">
                  <c:v>0.00690681776899596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454480"/>
        <c:axId val="-2044457904"/>
      </c:scatterChart>
      <c:valAx>
        <c:axId val="-204445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457904"/>
        <c:crosses val="autoZero"/>
        <c:crossBetween val="midCat"/>
      </c:valAx>
      <c:valAx>
        <c:axId val="-2044457904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45448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Ts-first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'ecom_paired_res (2)'!$T$2:$T$28</c:f>
              <c:numCache>
                <c:formatCode>0.00</c:formatCode>
                <c:ptCount val="27"/>
                <c:pt idx="0">
                  <c:v>0.717948717948718</c:v>
                </c:pt>
                <c:pt idx="1">
                  <c:v>0.948717948717949</c:v>
                </c:pt>
                <c:pt idx="2">
                  <c:v>0.25</c:v>
                </c:pt>
                <c:pt idx="3">
                  <c:v>0.186046511627907</c:v>
                </c:pt>
                <c:pt idx="4">
                  <c:v>0.300970873786408</c:v>
                </c:pt>
                <c:pt idx="5">
                  <c:v>0.28735632183908</c:v>
                </c:pt>
                <c:pt idx="6">
                  <c:v>0.240740740740741</c:v>
                </c:pt>
                <c:pt idx="7">
                  <c:v>0.333333333333333</c:v>
                </c:pt>
                <c:pt idx="8">
                  <c:v>0.483870967741935</c:v>
                </c:pt>
                <c:pt idx="9">
                  <c:v>0.25531914893617</c:v>
                </c:pt>
                <c:pt idx="10">
                  <c:v>0.542857142857143</c:v>
                </c:pt>
                <c:pt idx="11">
                  <c:v>0.00285714285714286</c:v>
                </c:pt>
                <c:pt idx="12">
                  <c:v>0.348837209302326</c:v>
                </c:pt>
                <c:pt idx="13">
                  <c:v>0.186046511627907</c:v>
                </c:pt>
                <c:pt idx="14">
                  <c:v>0.44</c:v>
                </c:pt>
                <c:pt idx="15">
                  <c:v>0.946428571428571</c:v>
                </c:pt>
                <c:pt idx="16">
                  <c:v>0.25</c:v>
                </c:pt>
                <c:pt idx="17">
                  <c:v>0.205128205128205</c:v>
                </c:pt>
                <c:pt idx="18">
                  <c:v>0.268292682926829</c:v>
                </c:pt>
                <c:pt idx="19">
                  <c:v>0.260869565217391</c:v>
                </c:pt>
                <c:pt idx="20">
                  <c:v>0.166666666666667</c:v>
                </c:pt>
                <c:pt idx="21">
                  <c:v>0.431818181818182</c:v>
                </c:pt>
                <c:pt idx="22">
                  <c:v>0.295081967213115</c:v>
                </c:pt>
                <c:pt idx="23">
                  <c:v>0.357142857142857</c:v>
                </c:pt>
                <c:pt idx="24">
                  <c:v>0.285714285714286</c:v>
                </c:pt>
                <c:pt idx="25">
                  <c:v>0.180327868852459</c:v>
                </c:pt>
                <c:pt idx="26">
                  <c:v>0.134328358208955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507296"/>
        <c:axId val="-2044516528"/>
      </c:scatterChart>
      <c:valAx>
        <c:axId val="-204450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516528"/>
        <c:crosses val="autoZero"/>
        <c:crossBetween val="midCat"/>
      </c:valAx>
      <c:valAx>
        <c:axId val="-2044516528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50729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1-Rs (Vars)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'ecom_paired_res (2)'!$AA$2:$AA$28</c:f>
              <c:numCache>
                <c:formatCode>0.00</c:formatCode>
                <c:ptCount val="27"/>
                <c:pt idx="0">
                  <c:v>0.0989189189189189</c:v>
                </c:pt>
                <c:pt idx="1">
                  <c:v>0.0991831971995332</c:v>
                </c:pt>
                <c:pt idx="2">
                  <c:v>0.129255319148936</c:v>
                </c:pt>
                <c:pt idx="3">
                  <c:v>0.102332979851538</c:v>
                </c:pt>
                <c:pt idx="4">
                  <c:v>0.518453427065026</c:v>
                </c:pt>
                <c:pt idx="5">
                  <c:v>0.473047858942065</c:v>
                </c:pt>
                <c:pt idx="6">
                  <c:v>0.12767094017094</c:v>
                </c:pt>
                <c:pt idx="7">
                  <c:v>0.0686059275521405</c:v>
                </c:pt>
                <c:pt idx="8">
                  <c:v>0.0686059275521405</c:v>
                </c:pt>
                <c:pt idx="9">
                  <c:v>0.102332979851538</c:v>
                </c:pt>
                <c:pt idx="10">
                  <c:v>0.0686059275521405</c:v>
                </c:pt>
                <c:pt idx="11">
                  <c:v>0.00111358574610245</c:v>
                </c:pt>
                <c:pt idx="12">
                  <c:v>0.129255319148936</c:v>
                </c:pt>
                <c:pt idx="13">
                  <c:v>0.0686059275521405</c:v>
                </c:pt>
                <c:pt idx="14">
                  <c:v>0.526462395543176</c:v>
                </c:pt>
                <c:pt idx="15">
                  <c:v>0.191056910569106</c:v>
                </c:pt>
                <c:pt idx="16">
                  <c:v>0.1875</c:v>
                </c:pt>
                <c:pt idx="17">
                  <c:v>0.06087437742114</c:v>
                </c:pt>
                <c:pt idx="18">
                  <c:v>0.0989189189189189</c:v>
                </c:pt>
                <c:pt idx="19">
                  <c:v>0.411042944785276</c:v>
                </c:pt>
                <c:pt idx="20">
                  <c:v>0.0686059275521405</c:v>
                </c:pt>
                <c:pt idx="21">
                  <c:v>0.0989189189189189</c:v>
                </c:pt>
                <c:pt idx="22">
                  <c:v>0.567961165048544</c:v>
                </c:pt>
                <c:pt idx="23">
                  <c:v>0.00835189309576837</c:v>
                </c:pt>
                <c:pt idx="24">
                  <c:v>0.146303901437372</c:v>
                </c:pt>
                <c:pt idx="25">
                  <c:v>0.12767094017094</c:v>
                </c:pt>
                <c:pt idx="26">
                  <c:v>0.411042944785276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2709824"/>
        <c:axId val="-2042704880"/>
      </c:scatterChart>
      <c:valAx>
        <c:axId val="-204270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2704880"/>
        <c:crosses val="autoZero"/>
        <c:crossBetween val="midCat"/>
      </c:valAx>
      <c:valAx>
        <c:axId val="-2042704880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270982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Ts-whole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'ecom_paired_res (2)'!$U$2:$U$28</c:f>
              <c:numCache>
                <c:formatCode>0.00</c:formatCode>
                <c:ptCount val="27"/>
                <c:pt idx="0">
                  <c:v>0.0532544378698225</c:v>
                </c:pt>
                <c:pt idx="1">
                  <c:v>0.0324253268093186</c:v>
                </c:pt>
                <c:pt idx="2">
                  <c:v>0.00432807185400772</c:v>
                </c:pt>
                <c:pt idx="3">
                  <c:v>0.037037037037037</c:v>
                </c:pt>
                <c:pt idx="4">
                  <c:v>0.695038689121529</c:v>
                </c:pt>
                <c:pt idx="5">
                  <c:v>0.843956043956044</c:v>
                </c:pt>
                <c:pt idx="6">
                  <c:v>0.000385507933227803</c:v>
                </c:pt>
                <c:pt idx="7">
                  <c:v>0.0370450139995692</c:v>
                </c:pt>
                <c:pt idx="8">
                  <c:v>0.0509683995922528</c:v>
                </c:pt>
                <c:pt idx="9">
                  <c:v>0.0763239875389408</c:v>
                </c:pt>
                <c:pt idx="10">
                  <c:v>0.0331313131313131</c:v>
                </c:pt>
                <c:pt idx="11">
                  <c:v>0.00544323483670295</c:v>
                </c:pt>
                <c:pt idx="12">
                  <c:v>0.0448249326664102</c:v>
                </c:pt>
                <c:pt idx="13">
                  <c:v>0.0478927203065134</c:v>
                </c:pt>
                <c:pt idx="14">
                  <c:v>0.913372472276582</c:v>
                </c:pt>
                <c:pt idx="15">
                  <c:v>0.0530546623794212</c:v>
                </c:pt>
                <c:pt idx="16">
                  <c:v>0.00335541397097906</c:v>
                </c:pt>
                <c:pt idx="17">
                  <c:v>0.0309921513382974</c:v>
                </c:pt>
                <c:pt idx="18">
                  <c:v>0.0328520205446264</c:v>
                </c:pt>
                <c:pt idx="19">
                  <c:v>0.646650769564275</c:v>
                </c:pt>
                <c:pt idx="20">
                  <c:v>0.0433108758421559</c:v>
                </c:pt>
                <c:pt idx="21">
                  <c:v>0.00184719027870842</c:v>
                </c:pt>
                <c:pt idx="22">
                  <c:v>0.503058327363361</c:v>
                </c:pt>
                <c:pt idx="23">
                  <c:v>0.0226824457593688</c:v>
                </c:pt>
                <c:pt idx="24">
                  <c:v>0.0399763103346165</c:v>
                </c:pt>
                <c:pt idx="25">
                  <c:v>0.00690681776899596</c:v>
                </c:pt>
                <c:pt idx="26">
                  <c:v>0.581589958158996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558256"/>
        <c:axId val="-2044561520"/>
      </c:scatterChart>
      <c:valAx>
        <c:axId val="-204455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561520"/>
        <c:crosses val="autoZero"/>
        <c:crossBetween val="midCat"/>
      </c:valAx>
      <c:valAx>
        <c:axId val="-2044561520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455825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33</xdr:row>
      <xdr:rowOff>0</xdr:rowOff>
    </xdr:from>
    <xdr:to>
      <xdr:col>19</xdr:col>
      <xdr:colOff>444500</xdr:colOff>
      <xdr:row>46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33</xdr:row>
      <xdr:rowOff>0</xdr:rowOff>
    </xdr:from>
    <xdr:to>
      <xdr:col>25</xdr:col>
      <xdr:colOff>444500</xdr:colOff>
      <xdr:row>46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49</xdr:row>
      <xdr:rowOff>0</xdr:rowOff>
    </xdr:from>
    <xdr:to>
      <xdr:col>19</xdr:col>
      <xdr:colOff>444500</xdr:colOff>
      <xdr:row>62</xdr:row>
      <xdr:rowOff>101600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35</xdr:row>
      <xdr:rowOff>0</xdr:rowOff>
    </xdr:from>
    <xdr:to>
      <xdr:col>19</xdr:col>
      <xdr:colOff>444500</xdr:colOff>
      <xdr:row>48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35</xdr:row>
      <xdr:rowOff>0</xdr:rowOff>
    </xdr:from>
    <xdr:to>
      <xdr:col>25</xdr:col>
      <xdr:colOff>444500</xdr:colOff>
      <xdr:row>48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51</xdr:row>
      <xdr:rowOff>0</xdr:rowOff>
    </xdr:from>
    <xdr:to>
      <xdr:col>19</xdr:col>
      <xdr:colOff>444500</xdr:colOff>
      <xdr:row>64</xdr:row>
      <xdr:rowOff>101600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F8" workbookViewId="0">
      <selection activeCell="J18" sqref="J18"/>
    </sheetView>
  </sheetViews>
  <sheetFormatPr baseColWidth="10" defaultRowHeight="16" x14ac:dyDescent="0.2"/>
  <cols>
    <col min="4" max="4" width="10.5" bestFit="1" customWidth="1"/>
    <col min="11" max="11" width="8.83203125" bestFit="1" customWidth="1"/>
    <col min="14" max="14" width="3.5" style="2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7</v>
      </c>
      <c r="M1" s="1" t="s">
        <v>8</v>
      </c>
      <c r="O1" s="1" t="s">
        <v>10</v>
      </c>
      <c r="P1" s="1" t="s">
        <v>5</v>
      </c>
      <c r="Q1" s="1" t="s">
        <v>6</v>
      </c>
      <c r="R1" s="1" t="s">
        <v>9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1:27" x14ac:dyDescent="0.2">
      <c r="A2">
        <v>0</v>
      </c>
      <c r="B2">
        <v>1</v>
      </c>
      <c r="C2">
        <v>1850</v>
      </c>
      <c r="D2">
        <v>0</v>
      </c>
      <c r="E2">
        <v>1218</v>
      </c>
      <c r="F2">
        <v>1829</v>
      </c>
      <c r="G2">
        <v>183</v>
      </c>
      <c r="H2">
        <v>1217</v>
      </c>
      <c r="I2">
        <v>28</v>
      </c>
      <c r="J2">
        <v>135</v>
      </c>
      <c r="K2">
        <v>8</v>
      </c>
      <c r="L2">
        <v>14</v>
      </c>
      <c r="M2">
        <v>62</v>
      </c>
      <c r="O2">
        <v>5289</v>
      </c>
      <c r="P2">
        <v>39</v>
      </c>
      <c r="Q2">
        <v>2535</v>
      </c>
      <c r="R2">
        <v>1024</v>
      </c>
      <c r="T2" s="5">
        <f>I2/P2</f>
        <v>0.71794871794871795</v>
      </c>
      <c r="U2" s="5">
        <f>J2/Q2</f>
        <v>5.3254437869822487E-2</v>
      </c>
      <c r="V2" s="5">
        <f>H2/E2</f>
        <v>0.99917898193760257</v>
      </c>
      <c r="W2" s="5">
        <f>(O2-F2)/O2</f>
        <v>0.65418793722820945</v>
      </c>
      <c r="X2" s="5">
        <f>(C2-G2)/C2</f>
        <v>0.90108108108108109</v>
      </c>
      <c r="Y2" s="5">
        <f>P2/I2</f>
        <v>1.3928571428571428</v>
      </c>
      <c r="Z2" s="5">
        <f>1-T2</f>
        <v>0.28205128205128205</v>
      </c>
      <c r="AA2" s="5">
        <f>G2/C2</f>
        <v>9.8918918918918922E-2</v>
      </c>
    </row>
    <row r="3" spans="1:27" x14ac:dyDescent="0.2">
      <c r="A3">
        <v>1</v>
      </c>
      <c r="B3">
        <v>13</v>
      </c>
      <c r="C3">
        <v>1714</v>
      </c>
      <c r="D3">
        <v>0</v>
      </c>
      <c r="E3">
        <v>1139</v>
      </c>
      <c r="F3">
        <v>1689</v>
      </c>
      <c r="G3">
        <v>170</v>
      </c>
      <c r="H3">
        <v>18</v>
      </c>
      <c r="I3">
        <v>37</v>
      </c>
      <c r="J3">
        <v>444</v>
      </c>
      <c r="K3">
        <v>165</v>
      </c>
      <c r="L3">
        <v>6</v>
      </c>
      <c r="M3">
        <v>50</v>
      </c>
      <c r="O3">
        <v>4867</v>
      </c>
      <c r="P3">
        <v>39</v>
      </c>
      <c r="Q3">
        <v>13693</v>
      </c>
      <c r="R3">
        <v>9600</v>
      </c>
      <c r="T3" s="5">
        <f t="shared" ref="T3:U19" si="0">I3/P3</f>
        <v>0.94871794871794868</v>
      </c>
      <c r="U3" s="5">
        <f t="shared" si="0"/>
        <v>3.242532680931863E-2</v>
      </c>
      <c r="V3" s="5">
        <f t="shared" ref="V3:V26" si="1">H3/E3</f>
        <v>1.5803336259877086E-2</v>
      </c>
      <c r="W3" s="5">
        <f t="shared" ref="W3:W26" si="2">(O3-F3)/O3</f>
        <v>0.65296897472775839</v>
      </c>
      <c r="X3" s="5">
        <f t="shared" ref="X3:X26" si="3">(C3-G3)/C3</f>
        <v>0.90081680280046672</v>
      </c>
      <c r="Y3" s="5">
        <f t="shared" ref="Y3:Y26" si="4">P3/I3</f>
        <v>1.0540540540540539</v>
      </c>
      <c r="Z3" s="5">
        <f t="shared" ref="Z3:Z26" si="5">1-T3</f>
        <v>5.1282051282051322E-2</v>
      </c>
      <c r="AA3" s="5">
        <f t="shared" ref="AA3:AA26" si="6">G3/C3</f>
        <v>9.9183197199533252E-2</v>
      </c>
    </row>
    <row r="4" spans="1:27" x14ac:dyDescent="0.2">
      <c r="A4">
        <v>3</v>
      </c>
      <c r="B4">
        <v>1</v>
      </c>
      <c r="C4">
        <v>1880</v>
      </c>
      <c r="D4">
        <v>0</v>
      </c>
      <c r="E4">
        <v>1188</v>
      </c>
      <c r="F4">
        <v>2554</v>
      </c>
      <c r="G4">
        <v>243</v>
      </c>
      <c r="H4">
        <v>1187</v>
      </c>
      <c r="I4">
        <v>14</v>
      </c>
      <c r="J4">
        <v>1728</v>
      </c>
      <c r="K4">
        <v>1632</v>
      </c>
      <c r="L4">
        <v>8</v>
      </c>
      <c r="M4">
        <v>100</v>
      </c>
      <c r="O4">
        <v>5789</v>
      </c>
      <c r="P4">
        <v>56</v>
      </c>
      <c r="Q4">
        <v>399254</v>
      </c>
      <c r="R4">
        <v>208896</v>
      </c>
      <c r="T4" s="5">
        <f t="shared" si="0"/>
        <v>0.25</v>
      </c>
      <c r="U4" s="5">
        <f t="shared" si="0"/>
        <v>4.3280718540077241E-3</v>
      </c>
      <c r="V4" s="5">
        <f t="shared" si="1"/>
        <v>0.99915824915824913</v>
      </c>
      <c r="W4" s="5">
        <f t="shared" si="2"/>
        <v>0.55881844878217313</v>
      </c>
      <c r="X4" s="5">
        <f t="shared" si="3"/>
        <v>0.87074468085106382</v>
      </c>
      <c r="Y4" s="5">
        <f t="shared" si="4"/>
        <v>4</v>
      </c>
      <c r="Z4" s="5">
        <f t="shared" si="5"/>
        <v>0.75</v>
      </c>
      <c r="AA4" s="5">
        <f t="shared" si="6"/>
        <v>0.12925531914893618</v>
      </c>
    </row>
    <row r="5" spans="1:27" x14ac:dyDescent="0.2">
      <c r="A5">
        <v>4</v>
      </c>
      <c r="B5">
        <v>1</v>
      </c>
      <c r="C5">
        <v>1886</v>
      </c>
      <c r="D5">
        <v>0</v>
      </c>
      <c r="E5">
        <v>1274</v>
      </c>
      <c r="F5">
        <v>1626</v>
      </c>
      <c r="G5">
        <v>193</v>
      </c>
      <c r="H5">
        <v>1273</v>
      </c>
      <c r="I5">
        <v>8</v>
      </c>
      <c r="J5">
        <v>163</v>
      </c>
      <c r="K5">
        <v>22</v>
      </c>
      <c r="L5">
        <v>10</v>
      </c>
      <c r="M5">
        <v>80</v>
      </c>
      <c r="O5">
        <v>5134</v>
      </c>
      <c r="P5">
        <v>43</v>
      </c>
      <c r="Q5">
        <v>4401</v>
      </c>
      <c r="R5">
        <v>2816</v>
      </c>
      <c r="T5" s="5">
        <f t="shared" si="0"/>
        <v>0.18604651162790697</v>
      </c>
      <c r="U5" s="5">
        <f t="shared" si="0"/>
        <v>3.7037037037037035E-2</v>
      </c>
      <c r="V5" s="5">
        <f t="shared" si="1"/>
        <v>0.99921507064364212</v>
      </c>
      <c r="W5" s="5">
        <f t="shared" si="2"/>
        <v>0.6832878846903</v>
      </c>
      <c r="X5" s="5">
        <f t="shared" si="3"/>
        <v>0.89766702014846234</v>
      </c>
      <c r="Y5" s="5">
        <f t="shared" si="4"/>
        <v>5.375</v>
      </c>
      <c r="Z5" s="5">
        <f t="shared" si="5"/>
        <v>0.81395348837209303</v>
      </c>
      <c r="AA5" s="5">
        <f t="shared" si="6"/>
        <v>0.10233297985153765</v>
      </c>
    </row>
    <row r="6" spans="1:27" x14ac:dyDescent="0.2">
      <c r="A6">
        <v>5</v>
      </c>
      <c r="B6">
        <v>2</v>
      </c>
      <c r="C6">
        <v>2276</v>
      </c>
      <c r="D6">
        <v>0</v>
      </c>
      <c r="E6">
        <v>1081</v>
      </c>
      <c r="F6">
        <v>7715</v>
      </c>
      <c r="G6">
        <v>1180</v>
      </c>
      <c r="H6">
        <v>1079</v>
      </c>
      <c r="I6">
        <v>31</v>
      </c>
      <c r="J6">
        <v>6108</v>
      </c>
      <c r="K6">
        <v>2050</v>
      </c>
      <c r="L6">
        <v>12</v>
      </c>
      <c r="M6">
        <v>294</v>
      </c>
      <c r="O6">
        <v>7559</v>
      </c>
      <c r="P6">
        <v>103</v>
      </c>
      <c r="Q6">
        <v>8788</v>
      </c>
      <c r="R6">
        <v>4096</v>
      </c>
      <c r="T6" s="5">
        <f t="shared" si="0"/>
        <v>0.30097087378640774</v>
      </c>
      <c r="U6" s="5">
        <f t="shared" si="0"/>
        <v>0.69503868912152933</v>
      </c>
      <c r="V6" s="5">
        <f t="shared" si="1"/>
        <v>0.99814986123959293</v>
      </c>
      <c r="W6" s="5">
        <f t="shared" si="2"/>
        <v>-2.0637650482868104E-2</v>
      </c>
      <c r="X6" s="5">
        <f t="shared" si="3"/>
        <v>0.48154657293497366</v>
      </c>
      <c r="Y6" s="5">
        <f t="shared" si="4"/>
        <v>3.3225806451612905</v>
      </c>
      <c r="Z6" s="5">
        <f t="shared" si="5"/>
        <v>0.69902912621359226</v>
      </c>
      <c r="AA6" s="5">
        <f t="shared" si="6"/>
        <v>0.5184534270650264</v>
      </c>
    </row>
    <row r="7" spans="1:27" x14ac:dyDescent="0.2">
      <c r="A7">
        <v>6</v>
      </c>
      <c r="B7">
        <v>1</v>
      </c>
      <c r="C7">
        <v>1985</v>
      </c>
      <c r="D7">
        <v>0</v>
      </c>
      <c r="E7">
        <v>1031</v>
      </c>
      <c r="F7">
        <v>6555</v>
      </c>
      <c r="G7">
        <v>939</v>
      </c>
      <c r="H7">
        <v>1030</v>
      </c>
      <c r="I7">
        <v>25</v>
      </c>
      <c r="J7">
        <v>768</v>
      </c>
      <c r="K7">
        <v>256</v>
      </c>
      <c r="L7">
        <v>8</v>
      </c>
      <c r="M7">
        <v>191</v>
      </c>
      <c r="O7">
        <v>6598</v>
      </c>
      <c r="P7">
        <v>87</v>
      </c>
      <c r="Q7">
        <v>910</v>
      </c>
      <c r="R7">
        <v>256</v>
      </c>
      <c r="T7" s="5">
        <f t="shared" si="0"/>
        <v>0.28735632183908044</v>
      </c>
      <c r="U7" s="5">
        <f t="shared" si="0"/>
        <v>0.84395604395604396</v>
      </c>
      <c r="V7" s="5">
        <f t="shared" si="1"/>
        <v>0.99903006789524729</v>
      </c>
      <c r="W7" s="5">
        <f t="shared" si="2"/>
        <v>6.517126401939982E-3</v>
      </c>
      <c r="X7" s="5">
        <f t="shared" si="3"/>
        <v>0.52695214105793453</v>
      </c>
      <c r="Y7" s="5">
        <f t="shared" si="4"/>
        <v>3.48</v>
      </c>
      <c r="Z7" s="5">
        <f t="shared" si="5"/>
        <v>0.71264367816091956</v>
      </c>
      <c r="AA7" s="5">
        <f t="shared" si="6"/>
        <v>0.47304785894206547</v>
      </c>
    </row>
    <row r="8" spans="1:27" x14ac:dyDescent="0.2">
      <c r="A8">
        <v>7</v>
      </c>
      <c r="B8">
        <v>2</v>
      </c>
      <c r="C8">
        <v>1872</v>
      </c>
      <c r="D8">
        <v>0</v>
      </c>
      <c r="E8">
        <v>1214</v>
      </c>
      <c r="F8">
        <v>2488</v>
      </c>
      <c r="G8">
        <v>239</v>
      </c>
      <c r="H8">
        <v>1212</v>
      </c>
      <c r="I8">
        <v>13</v>
      </c>
      <c r="J8">
        <v>763</v>
      </c>
      <c r="K8">
        <v>396</v>
      </c>
      <c r="L8">
        <v>6</v>
      </c>
      <c r="M8">
        <v>96</v>
      </c>
      <c r="O8">
        <v>5568</v>
      </c>
      <c r="P8">
        <v>54</v>
      </c>
      <c r="Q8">
        <v>1979207</v>
      </c>
      <c r="R8">
        <v>778240</v>
      </c>
      <c r="T8" s="5">
        <f t="shared" si="0"/>
        <v>0.24074074074074073</v>
      </c>
      <c r="U8" s="5">
        <f t="shared" si="0"/>
        <v>3.8550793322780286E-4</v>
      </c>
      <c r="V8" s="5">
        <f t="shared" si="1"/>
        <v>0.99835255354200991</v>
      </c>
      <c r="W8" s="5">
        <f t="shared" si="2"/>
        <v>0.55316091954022983</v>
      </c>
      <c r="X8" s="5">
        <f t="shared" si="3"/>
        <v>0.87232905982905984</v>
      </c>
      <c r="Y8" s="5">
        <f t="shared" si="4"/>
        <v>4.1538461538461542</v>
      </c>
      <c r="Z8" s="5">
        <f t="shared" si="5"/>
        <v>0.7592592592592593</v>
      </c>
      <c r="AA8" s="5">
        <f t="shared" si="6"/>
        <v>0.12767094017094016</v>
      </c>
    </row>
    <row r="9" spans="1:27" x14ac:dyDescent="0.2">
      <c r="A9">
        <v>8</v>
      </c>
      <c r="B9">
        <v>1</v>
      </c>
      <c r="C9">
        <v>1822</v>
      </c>
      <c r="D9">
        <v>0</v>
      </c>
      <c r="E9">
        <v>1248</v>
      </c>
      <c r="F9">
        <v>1148</v>
      </c>
      <c r="G9">
        <v>125</v>
      </c>
      <c r="H9">
        <v>1247</v>
      </c>
      <c r="I9">
        <v>10</v>
      </c>
      <c r="J9">
        <v>172</v>
      </c>
      <c r="K9">
        <v>24</v>
      </c>
      <c r="L9">
        <v>5</v>
      </c>
      <c r="M9">
        <v>56</v>
      </c>
      <c r="O9">
        <v>4822</v>
      </c>
      <c r="P9">
        <v>30</v>
      </c>
      <c r="Q9">
        <v>4643</v>
      </c>
      <c r="R9">
        <v>3072</v>
      </c>
      <c r="T9" s="5">
        <f t="shared" si="0"/>
        <v>0.33333333333333331</v>
      </c>
      <c r="U9" s="5">
        <f t="shared" si="0"/>
        <v>3.7045013999569242E-2</v>
      </c>
      <c r="V9" s="5">
        <f t="shared" si="1"/>
        <v>0.99919871794871795</v>
      </c>
      <c r="W9" s="5">
        <f t="shared" si="2"/>
        <v>0.76192451265035255</v>
      </c>
      <c r="X9" s="5">
        <f t="shared" si="3"/>
        <v>0.93139407244785954</v>
      </c>
      <c r="Y9" s="5">
        <f t="shared" si="4"/>
        <v>3</v>
      </c>
      <c r="Z9" s="5">
        <f t="shared" si="5"/>
        <v>0.66666666666666674</v>
      </c>
      <c r="AA9" s="5">
        <f t="shared" si="6"/>
        <v>6.8605927552140511E-2</v>
      </c>
    </row>
    <row r="10" spans="1:27" x14ac:dyDescent="0.2">
      <c r="A10">
        <v>9</v>
      </c>
      <c r="B10">
        <v>1</v>
      </c>
      <c r="C10">
        <v>1822</v>
      </c>
      <c r="D10">
        <v>0</v>
      </c>
      <c r="E10">
        <v>1248</v>
      </c>
      <c r="F10">
        <v>1151</v>
      </c>
      <c r="G10">
        <v>125</v>
      </c>
      <c r="H10">
        <v>1247</v>
      </c>
      <c r="I10">
        <v>15</v>
      </c>
      <c r="J10">
        <v>50</v>
      </c>
      <c r="K10">
        <v>4</v>
      </c>
      <c r="L10">
        <v>19</v>
      </c>
      <c r="M10">
        <v>62</v>
      </c>
      <c r="O10">
        <v>4824</v>
      </c>
      <c r="P10">
        <v>31</v>
      </c>
      <c r="Q10">
        <v>981</v>
      </c>
      <c r="R10">
        <v>512</v>
      </c>
      <c r="T10" s="5">
        <f t="shared" si="0"/>
        <v>0.4838709677419355</v>
      </c>
      <c r="U10" s="5">
        <f t="shared" si="0"/>
        <v>5.09683995922528E-2</v>
      </c>
      <c r="V10" s="5">
        <f t="shared" si="1"/>
        <v>0.99919871794871795</v>
      </c>
      <c r="W10" s="5">
        <f t="shared" si="2"/>
        <v>0.76140132669983418</v>
      </c>
      <c r="X10" s="5">
        <f t="shared" si="3"/>
        <v>0.93139407244785954</v>
      </c>
      <c r="Y10" s="5">
        <f t="shared" si="4"/>
        <v>2.0666666666666669</v>
      </c>
      <c r="Z10" s="5">
        <f t="shared" si="5"/>
        <v>0.5161290322580645</v>
      </c>
      <c r="AA10" s="5">
        <f t="shared" si="6"/>
        <v>6.8605927552140511E-2</v>
      </c>
    </row>
    <row r="11" spans="1:27" x14ac:dyDescent="0.2">
      <c r="A11">
        <v>11</v>
      </c>
      <c r="B11">
        <v>1</v>
      </c>
      <c r="C11">
        <v>1886</v>
      </c>
      <c r="D11">
        <v>0</v>
      </c>
      <c r="E11">
        <v>1274</v>
      </c>
      <c r="F11">
        <v>1629</v>
      </c>
      <c r="G11">
        <v>193</v>
      </c>
      <c r="H11">
        <v>1273</v>
      </c>
      <c r="I11">
        <v>12</v>
      </c>
      <c r="J11">
        <v>49</v>
      </c>
      <c r="K11">
        <v>2</v>
      </c>
      <c r="L11">
        <v>20</v>
      </c>
      <c r="M11">
        <v>171</v>
      </c>
      <c r="O11">
        <v>5136</v>
      </c>
      <c r="P11">
        <v>47</v>
      </c>
      <c r="Q11">
        <v>642</v>
      </c>
      <c r="R11">
        <v>256</v>
      </c>
      <c r="T11" s="5">
        <f t="shared" si="0"/>
        <v>0.25531914893617019</v>
      </c>
      <c r="U11" s="5">
        <f t="shared" si="0"/>
        <v>7.6323987538940805E-2</v>
      </c>
      <c r="V11" s="5">
        <f t="shared" si="1"/>
        <v>0.99921507064364212</v>
      </c>
      <c r="W11" s="5">
        <f t="shared" si="2"/>
        <v>0.68282710280373837</v>
      </c>
      <c r="X11" s="5">
        <f t="shared" si="3"/>
        <v>0.89766702014846234</v>
      </c>
      <c r="Y11" s="5">
        <f t="shared" si="4"/>
        <v>3.9166666666666665</v>
      </c>
      <c r="Z11" s="5">
        <f t="shared" si="5"/>
        <v>0.74468085106382986</v>
      </c>
      <c r="AA11" s="5">
        <f t="shared" si="6"/>
        <v>0.10233297985153765</v>
      </c>
    </row>
    <row r="12" spans="1:27" x14ac:dyDescent="0.2">
      <c r="A12">
        <v>12</v>
      </c>
      <c r="B12">
        <v>1</v>
      </c>
      <c r="C12">
        <v>1822</v>
      </c>
      <c r="D12">
        <v>0</v>
      </c>
      <c r="E12">
        <v>1248</v>
      </c>
      <c r="F12">
        <v>1175</v>
      </c>
      <c r="G12">
        <v>125</v>
      </c>
      <c r="H12">
        <v>1247</v>
      </c>
      <c r="I12">
        <v>19</v>
      </c>
      <c r="J12">
        <v>164</v>
      </c>
      <c r="K12">
        <v>24</v>
      </c>
      <c r="L12">
        <v>8</v>
      </c>
      <c r="M12">
        <v>74</v>
      </c>
      <c r="O12">
        <v>4838</v>
      </c>
      <c r="P12">
        <v>35</v>
      </c>
      <c r="Q12">
        <v>4950</v>
      </c>
      <c r="R12">
        <v>3072</v>
      </c>
      <c r="T12" s="5">
        <f t="shared" si="0"/>
        <v>0.54285714285714282</v>
      </c>
      <c r="U12" s="5">
        <f t="shared" si="0"/>
        <v>3.313131313131313E-2</v>
      </c>
      <c r="V12" s="5">
        <f t="shared" si="1"/>
        <v>0.99919871794871795</v>
      </c>
      <c r="W12" s="5">
        <f t="shared" si="2"/>
        <v>0.75713104588673008</v>
      </c>
      <c r="X12" s="5">
        <f t="shared" si="3"/>
        <v>0.93139407244785954</v>
      </c>
      <c r="Y12" s="5">
        <f t="shared" si="4"/>
        <v>1.8421052631578947</v>
      </c>
      <c r="Z12" s="5">
        <f t="shared" si="5"/>
        <v>0.45714285714285718</v>
      </c>
      <c r="AA12" s="5">
        <f t="shared" si="6"/>
        <v>6.8605927552140511E-2</v>
      </c>
    </row>
    <row r="13" spans="1:27" x14ac:dyDescent="0.2">
      <c r="A13">
        <v>13</v>
      </c>
      <c r="B13">
        <v>1</v>
      </c>
      <c r="C13">
        <v>1796</v>
      </c>
      <c r="D13">
        <v>0</v>
      </c>
      <c r="E13">
        <v>1278</v>
      </c>
      <c r="F13">
        <v>4</v>
      </c>
      <c r="G13">
        <v>2</v>
      </c>
      <c r="H13">
        <v>1277</v>
      </c>
      <c r="I13">
        <v>0.1</v>
      </c>
      <c r="J13">
        <v>7</v>
      </c>
      <c r="K13">
        <v>2</v>
      </c>
      <c r="L13">
        <v>5</v>
      </c>
      <c r="M13">
        <v>58</v>
      </c>
      <c r="O13">
        <v>4300</v>
      </c>
      <c r="P13">
        <v>35</v>
      </c>
      <c r="Q13">
        <v>1286</v>
      </c>
      <c r="R13">
        <v>512</v>
      </c>
      <c r="T13" s="5">
        <f t="shared" si="0"/>
        <v>2.8571428571428571E-3</v>
      </c>
      <c r="U13" s="5">
        <f t="shared" si="0"/>
        <v>5.4432348367029551E-3</v>
      </c>
      <c r="V13" s="5">
        <f t="shared" si="1"/>
        <v>0.99921752738654146</v>
      </c>
      <c r="W13" s="5">
        <f t="shared" si="2"/>
        <v>0.99906976744186049</v>
      </c>
      <c r="X13" s="5">
        <f t="shared" si="3"/>
        <v>0.99888641425389757</v>
      </c>
      <c r="Y13" s="5">
        <f t="shared" si="4"/>
        <v>350</v>
      </c>
      <c r="Z13" s="5">
        <f t="shared" si="5"/>
        <v>0.99714285714285711</v>
      </c>
      <c r="AA13" s="5">
        <f t="shared" si="6"/>
        <v>1.1135857461024498E-3</v>
      </c>
    </row>
    <row r="14" spans="1:27" x14ac:dyDescent="0.2">
      <c r="A14">
        <v>14</v>
      </c>
      <c r="B14">
        <v>1</v>
      </c>
      <c r="C14">
        <v>1880</v>
      </c>
      <c r="D14">
        <v>0</v>
      </c>
      <c r="E14">
        <v>1188</v>
      </c>
      <c r="F14">
        <v>2587</v>
      </c>
      <c r="G14">
        <v>243</v>
      </c>
      <c r="H14">
        <v>1187</v>
      </c>
      <c r="I14">
        <v>15</v>
      </c>
      <c r="J14">
        <v>233</v>
      </c>
      <c r="K14">
        <v>16</v>
      </c>
      <c r="L14">
        <v>10</v>
      </c>
      <c r="M14">
        <v>104</v>
      </c>
      <c r="O14">
        <v>5809</v>
      </c>
      <c r="P14">
        <v>43</v>
      </c>
      <c r="Q14">
        <v>5198</v>
      </c>
      <c r="R14">
        <v>2048</v>
      </c>
      <c r="T14" s="5">
        <f t="shared" si="0"/>
        <v>0.34883720930232559</v>
      </c>
      <c r="U14" s="5">
        <f t="shared" si="0"/>
        <v>4.4824932666410161E-2</v>
      </c>
      <c r="V14" s="5">
        <f t="shared" si="1"/>
        <v>0.99915824915824913</v>
      </c>
      <c r="W14" s="5">
        <f t="shared" si="2"/>
        <v>0.55465656739542091</v>
      </c>
      <c r="X14" s="5">
        <f t="shared" si="3"/>
        <v>0.87074468085106382</v>
      </c>
      <c r="Y14" s="5">
        <f t="shared" si="4"/>
        <v>2.8666666666666667</v>
      </c>
      <c r="Z14" s="5">
        <f t="shared" si="5"/>
        <v>0.65116279069767447</v>
      </c>
      <c r="AA14" s="5">
        <f t="shared" si="6"/>
        <v>0.12925531914893618</v>
      </c>
    </row>
    <row r="15" spans="1:27" x14ac:dyDescent="0.2">
      <c r="A15">
        <v>15</v>
      </c>
      <c r="B15">
        <v>1</v>
      </c>
      <c r="C15">
        <v>1822</v>
      </c>
      <c r="D15">
        <v>0</v>
      </c>
      <c r="E15">
        <v>1248</v>
      </c>
      <c r="F15">
        <v>1139</v>
      </c>
      <c r="G15">
        <v>125</v>
      </c>
      <c r="H15">
        <v>1247</v>
      </c>
      <c r="I15">
        <v>8</v>
      </c>
      <c r="J15">
        <v>50</v>
      </c>
      <c r="K15">
        <v>4</v>
      </c>
      <c r="L15">
        <v>7</v>
      </c>
      <c r="M15">
        <v>56</v>
      </c>
      <c r="O15">
        <v>4817</v>
      </c>
      <c r="P15">
        <v>43</v>
      </c>
      <c r="Q15">
        <v>1044</v>
      </c>
      <c r="R15">
        <v>512</v>
      </c>
      <c r="T15" s="5">
        <f t="shared" si="0"/>
        <v>0.18604651162790697</v>
      </c>
      <c r="U15" s="5">
        <f t="shared" si="0"/>
        <v>4.7892720306513412E-2</v>
      </c>
      <c r="V15" s="5">
        <f t="shared" si="1"/>
        <v>0.99919871794871795</v>
      </c>
      <c r="W15" s="5">
        <f t="shared" si="2"/>
        <v>0.76354577537886648</v>
      </c>
      <c r="X15" s="5">
        <f t="shared" si="3"/>
        <v>0.93139407244785954</v>
      </c>
      <c r="Y15" s="5">
        <f t="shared" si="4"/>
        <v>5.375</v>
      </c>
      <c r="Z15" s="5">
        <f t="shared" si="5"/>
        <v>0.81395348837209303</v>
      </c>
      <c r="AA15" s="5">
        <f t="shared" si="6"/>
        <v>6.8605927552140511E-2</v>
      </c>
    </row>
    <row r="16" spans="1:27" x14ac:dyDescent="0.2">
      <c r="A16">
        <v>16</v>
      </c>
      <c r="B16">
        <v>1</v>
      </c>
      <c r="C16">
        <v>2154</v>
      </c>
      <c r="D16">
        <v>0</v>
      </c>
      <c r="E16">
        <v>1005</v>
      </c>
      <c r="F16">
        <v>7846</v>
      </c>
      <c r="G16">
        <v>1134</v>
      </c>
      <c r="H16">
        <v>1004</v>
      </c>
      <c r="I16">
        <v>44</v>
      </c>
      <c r="J16">
        <v>7001</v>
      </c>
      <c r="K16">
        <v>3584</v>
      </c>
      <c r="L16">
        <v>7</v>
      </c>
      <c r="M16">
        <v>241</v>
      </c>
      <c r="O16">
        <v>7669</v>
      </c>
      <c r="P16">
        <v>100</v>
      </c>
      <c r="Q16">
        <v>7665</v>
      </c>
      <c r="R16">
        <v>3584</v>
      </c>
      <c r="T16" s="5">
        <f t="shared" si="0"/>
        <v>0.44</v>
      </c>
      <c r="U16" s="5">
        <f t="shared" si="0"/>
        <v>0.91337247227658191</v>
      </c>
      <c r="V16" s="5">
        <f t="shared" si="1"/>
        <v>0.99900497512437814</v>
      </c>
      <c r="W16" s="5">
        <f t="shared" si="2"/>
        <v>-2.3079932194549485E-2</v>
      </c>
      <c r="X16" s="5">
        <f t="shared" si="3"/>
        <v>0.47353760445682452</v>
      </c>
      <c r="Y16" s="5">
        <f t="shared" si="4"/>
        <v>2.2727272727272729</v>
      </c>
      <c r="Z16" s="5">
        <f t="shared" si="5"/>
        <v>0.56000000000000005</v>
      </c>
      <c r="AA16" s="5">
        <f t="shared" si="6"/>
        <v>0.52646239554317553</v>
      </c>
    </row>
    <row r="17" spans="1:27" x14ac:dyDescent="0.2">
      <c r="A17">
        <v>17</v>
      </c>
      <c r="B17">
        <v>13</v>
      </c>
      <c r="C17">
        <v>1722</v>
      </c>
      <c r="D17">
        <v>0</v>
      </c>
      <c r="E17">
        <v>1056</v>
      </c>
      <c r="F17">
        <v>3025</v>
      </c>
      <c r="G17">
        <v>329</v>
      </c>
      <c r="H17">
        <v>15</v>
      </c>
      <c r="I17">
        <v>53</v>
      </c>
      <c r="J17">
        <v>495</v>
      </c>
      <c r="K17">
        <v>147</v>
      </c>
      <c r="L17">
        <v>8</v>
      </c>
      <c r="M17">
        <v>74</v>
      </c>
      <c r="O17">
        <v>5572</v>
      </c>
      <c r="P17">
        <v>56</v>
      </c>
      <c r="Q17">
        <v>9330</v>
      </c>
      <c r="R17">
        <v>4224</v>
      </c>
      <c r="T17" s="5">
        <f t="shared" si="0"/>
        <v>0.9464285714285714</v>
      </c>
      <c r="U17" s="5">
        <f t="shared" si="0"/>
        <v>5.3054662379421219E-2</v>
      </c>
      <c r="V17" s="5">
        <f t="shared" si="1"/>
        <v>1.4204545454545454E-2</v>
      </c>
      <c r="W17" s="5">
        <f t="shared" si="2"/>
        <v>0.45710696338837042</v>
      </c>
      <c r="X17" s="5">
        <f t="shared" si="3"/>
        <v>0.80894308943089432</v>
      </c>
      <c r="Y17" s="5">
        <f t="shared" si="4"/>
        <v>1.0566037735849056</v>
      </c>
      <c r="Z17" s="5">
        <f t="shared" si="5"/>
        <v>5.3571428571428603E-2</v>
      </c>
      <c r="AA17" s="5">
        <f t="shared" si="6"/>
        <v>0.1910569105691057</v>
      </c>
    </row>
    <row r="18" spans="1:27" x14ac:dyDescent="0.2">
      <c r="A18">
        <v>19</v>
      </c>
      <c r="B18">
        <v>1</v>
      </c>
      <c r="C18">
        <v>1807</v>
      </c>
      <c r="D18">
        <v>0</v>
      </c>
      <c r="E18">
        <v>1248</v>
      </c>
      <c r="F18">
        <v>1022</v>
      </c>
      <c r="G18">
        <v>110</v>
      </c>
      <c r="H18">
        <v>1247</v>
      </c>
      <c r="I18">
        <v>8</v>
      </c>
      <c r="J18">
        <v>154</v>
      </c>
      <c r="K18">
        <v>24</v>
      </c>
      <c r="L18">
        <v>7</v>
      </c>
      <c r="M18">
        <v>63</v>
      </c>
      <c r="O18">
        <v>4730</v>
      </c>
      <c r="P18">
        <v>39</v>
      </c>
      <c r="Q18">
        <v>4969</v>
      </c>
      <c r="R18">
        <v>3072</v>
      </c>
      <c r="T18" s="5">
        <f t="shared" si="0"/>
        <v>0.20512820512820512</v>
      </c>
      <c r="U18" s="5">
        <f t="shared" si="0"/>
        <v>3.0992151338297445E-2</v>
      </c>
      <c r="V18" s="5">
        <f t="shared" si="1"/>
        <v>0.99919871794871795</v>
      </c>
      <c r="W18" s="5">
        <f t="shared" si="2"/>
        <v>0.78393234672304435</v>
      </c>
      <c r="X18" s="5">
        <f t="shared" si="3"/>
        <v>0.93912562257886001</v>
      </c>
      <c r="Y18" s="5">
        <f t="shared" si="4"/>
        <v>4.875</v>
      </c>
      <c r="Z18" s="5">
        <f t="shared" si="5"/>
        <v>0.79487179487179493</v>
      </c>
      <c r="AA18" s="5">
        <f t="shared" si="6"/>
        <v>6.0874377421140012E-2</v>
      </c>
    </row>
    <row r="19" spans="1:27" x14ac:dyDescent="0.2">
      <c r="A19">
        <v>20</v>
      </c>
      <c r="B19">
        <v>1</v>
      </c>
      <c r="C19">
        <v>1850</v>
      </c>
      <c r="D19">
        <v>0</v>
      </c>
      <c r="E19">
        <v>1218</v>
      </c>
      <c r="F19">
        <v>1878</v>
      </c>
      <c r="G19">
        <v>183</v>
      </c>
      <c r="H19">
        <v>1217</v>
      </c>
      <c r="I19">
        <v>11</v>
      </c>
      <c r="J19">
        <v>339</v>
      </c>
      <c r="K19">
        <v>54</v>
      </c>
      <c r="L19">
        <v>12</v>
      </c>
      <c r="M19">
        <v>69</v>
      </c>
      <c r="O19">
        <v>5321</v>
      </c>
      <c r="P19">
        <v>41</v>
      </c>
      <c r="Q19">
        <v>10319</v>
      </c>
      <c r="R19">
        <v>6912</v>
      </c>
      <c r="T19" s="5">
        <f t="shared" si="0"/>
        <v>0.26829268292682928</v>
      </c>
      <c r="U19" s="5">
        <f t="shared" si="0"/>
        <v>3.2852020544626416E-2</v>
      </c>
      <c r="V19" s="5">
        <f t="shared" si="1"/>
        <v>0.99917898193760257</v>
      </c>
      <c r="W19" s="5">
        <f t="shared" si="2"/>
        <v>0.6470588235294118</v>
      </c>
      <c r="X19" s="5">
        <f t="shared" si="3"/>
        <v>0.90108108108108109</v>
      </c>
      <c r="Y19" s="5">
        <f t="shared" si="4"/>
        <v>3.7272727272727271</v>
      </c>
      <c r="Z19" s="5">
        <f t="shared" si="5"/>
        <v>0.73170731707317072</v>
      </c>
      <c r="AA19" s="5">
        <f t="shared" si="6"/>
        <v>9.8918918918918922E-2</v>
      </c>
    </row>
    <row r="20" spans="1:27" x14ac:dyDescent="0.2">
      <c r="A20">
        <v>21</v>
      </c>
      <c r="B20">
        <v>1</v>
      </c>
      <c r="C20">
        <v>1956</v>
      </c>
      <c r="D20">
        <v>0</v>
      </c>
      <c r="E20">
        <v>1137</v>
      </c>
      <c r="F20">
        <v>5187</v>
      </c>
      <c r="G20">
        <v>804</v>
      </c>
      <c r="H20">
        <v>1136</v>
      </c>
      <c r="I20">
        <v>12</v>
      </c>
      <c r="J20">
        <v>5966</v>
      </c>
      <c r="K20">
        <v>3840</v>
      </c>
      <c r="L20">
        <v>27</v>
      </c>
      <c r="M20">
        <v>209</v>
      </c>
      <c r="N20" s="3"/>
      <c r="O20">
        <v>5580</v>
      </c>
      <c r="P20">
        <v>46</v>
      </c>
      <c r="Q20">
        <v>9226</v>
      </c>
      <c r="R20">
        <v>3840</v>
      </c>
      <c r="T20" s="5">
        <f t="shared" ref="T20:U26" si="7">I20/P20</f>
        <v>0.2608695652173913</v>
      </c>
      <c r="U20" s="5">
        <f t="shared" si="7"/>
        <v>0.64665076956427492</v>
      </c>
      <c r="V20" s="5">
        <f t="shared" si="1"/>
        <v>0.99912049252418644</v>
      </c>
      <c r="W20" s="5">
        <f t="shared" si="2"/>
        <v>7.0430107526881724E-2</v>
      </c>
      <c r="X20" s="5">
        <f t="shared" si="3"/>
        <v>0.58895705521472397</v>
      </c>
      <c r="Y20" s="5">
        <f t="shared" si="4"/>
        <v>3.8333333333333335</v>
      </c>
      <c r="Z20" s="5">
        <f t="shared" si="5"/>
        <v>0.73913043478260865</v>
      </c>
      <c r="AA20" s="5">
        <f t="shared" si="6"/>
        <v>0.41104294478527609</v>
      </c>
    </row>
    <row r="21" spans="1:27" x14ac:dyDescent="0.2">
      <c r="A21">
        <v>23</v>
      </c>
      <c r="B21">
        <v>1</v>
      </c>
      <c r="C21">
        <v>1822</v>
      </c>
      <c r="D21">
        <v>0</v>
      </c>
      <c r="E21">
        <v>1248</v>
      </c>
      <c r="F21">
        <v>1139</v>
      </c>
      <c r="G21">
        <v>125</v>
      </c>
      <c r="H21">
        <v>1247</v>
      </c>
      <c r="I21">
        <v>7</v>
      </c>
      <c r="J21">
        <v>45</v>
      </c>
      <c r="K21">
        <v>4</v>
      </c>
      <c r="L21">
        <v>5</v>
      </c>
      <c r="M21">
        <v>83</v>
      </c>
      <c r="O21">
        <v>4817</v>
      </c>
      <c r="P21">
        <v>42</v>
      </c>
      <c r="Q21">
        <v>1039</v>
      </c>
      <c r="R21">
        <v>512</v>
      </c>
      <c r="T21" s="5">
        <f t="shared" si="7"/>
        <v>0.16666666666666666</v>
      </c>
      <c r="U21" s="5">
        <f t="shared" si="7"/>
        <v>4.331087584215592E-2</v>
      </c>
      <c r="V21" s="5">
        <f t="shared" si="1"/>
        <v>0.99919871794871795</v>
      </c>
      <c r="W21" s="5">
        <f t="shared" si="2"/>
        <v>0.76354577537886648</v>
      </c>
      <c r="X21" s="5">
        <f t="shared" si="3"/>
        <v>0.93139407244785954</v>
      </c>
      <c r="Y21" s="5">
        <f t="shared" si="4"/>
        <v>6</v>
      </c>
      <c r="Z21" s="5">
        <f t="shared" si="5"/>
        <v>0.83333333333333337</v>
      </c>
      <c r="AA21" s="5">
        <f t="shared" si="6"/>
        <v>6.8605927552140511E-2</v>
      </c>
    </row>
    <row r="22" spans="1:27" x14ac:dyDescent="0.2">
      <c r="A22">
        <v>24</v>
      </c>
      <c r="B22">
        <v>2</v>
      </c>
      <c r="C22">
        <v>1850</v>
      </c>
      <c r="D22">
        <v>0</v>
      </c>
      <c r="E22">
        <v>1218</v>
      </c>
      <c r="F22">
        <v>1842</v>
      </c>
      <c r="G22">
        <v>183</v>
      </c>
      <c r="H22">
        <v>1216</v>
      </c>
      <c r="I22">
        <v>19</v>
      </c>
      <c r="J22">
        <v>306</v>
      </c>
      <c r="K22">
        <v>69</v>
      </c>
      <c r="L22">
        <v>6</v>
      </c>
      <c r="M22">
        <v>70</v>
      </c>
      <c r="O22">
        <v>5284</v>
      </c>
      <c r="P22">
        <v>44</v>
      </c>
      <c r="Q22">
        <v>165657</v>
      </c>
      <c r="R22">
        <v>103680</v>
      </c>
      <c r="T22" s="5">
        <f t="shared" si="7"/>
        <v>0.43181818181818182</v>
      </c>
      <c r="U22" s="5">
        <f t="shared" si="7"/>
        <v>1.8471902787084156E-3</v>
      </c>
      <c r="V22" s="5">
        <f t="shared" si="1"/>
        <v>0.99835796387520526</v>
      </c>
      <c r="W22" s="5">
        <f t="shared" si="2"/>
        <v>0.65140045420136261</v>
      </c>
      <c r="X22" s="5">
        <f t="shared" si="3"/>
        <v>0.90108108108108109</v>
      </c>
      <c r="Y22" s="5">
        <f t="shared" si="4"/>
        <v>2.3157894736842106</v>
      </c>
      <c r="Z22" s="5">
        <f t="shared" si="5"/>
        <v>0.56818181818181812</v>
      </c>
      <c r="AA22" s="5">
        <f t="shared" si="6"/>
        <v>9.8918918918918922E-2</v>
      </c>
    </row>
    <row r="23" spans="1:27" x14ac:dyDescent="0.2">
      <c r="A23">
        <v>25</v>
      </c>
      <c r="B23">
        <v>2</v>
      </c>
      <c r="C23">
        <v>2472</v>
      </c>
      <c r="D23">
        <v>0</v>
      </c>
      <c r="E23">
        <v>1053</v>
      </c>
      <c r="F23">
        <v>9426</v>
      </c>
      <c r="G23">
        <v>1404</v>
      </c>
      <c r="H23">
        <v>1051</v>
      </c>
      <c r="I23">
        <v>36</v>
      </c>
      <c r="J23">
        <v>285798</v>
      </c>
      <c r="K23">
        <v>80386</v>
      </c>
      <c r="L23">
        <v>9</v>
      </c>
      <c r="M23">
        <v>391</v>
      </c>
      <c r="O23">
        <v>8919</v>
      </c>
      <c r="P23">
        <v>122</v>
      </c>
      <c r="Q23">
        <v>568121</v>
      </c>
      <c r="R23">
        <v>160768</v>
      </c>
      <c r="T23" s="5">
        <f t="shared" si="7"/>
        <v>0.29508196721311475</v>
      </c>
      <c r="U23" s="5">
        <f t="shared" si="7"/>
        <v>0.50305832736336098</v>
      </c>
      <c r="V23" s="5">
        <f t="shared" si="1"/>
        <v>0.99810066476733139</v>
      </c>
      <c r="W23" s="5">
        <f t="shared" si="2"/>
        <v>-5.6844937773292969E-2</v>
      </c>
      <c r="X23" s="5">
        <f t="shared" si="3"/>
        <v>0.43203883495145629</v>
      </c>
      <c r="Y23" s="5">
        <f t="shared" si="4"/>
        <v>3.3888888888888888</v>
      </c>
      <c r="Z23" s="5">
        <f t="shared" si="5"/>
        <v>0.70491803278688525</v>
      </c>
      <c r="AA23" s="5">
        <f t="shared" si="6"/>
        <v>0.56796116504854366</v>
      </c>
    </row>
    <row r="24" spans="1:27" x14ac:dyDescent="0.2">
      <c r="A24">
        <v>26</v>
      </c>
      <c r="B24">
        <v>1</v>
      </c>
      <c r="C24">
        <v>1796</v>
      </c>
      <c r="D24">
        <v>0</v>
      </c>
      <c r="E24">
        <v>1278</v>
      </c>
      <c r="F24">
        <v>66</v>
      </c>
      <c r="G24">
        <v>15</v>
      </c>
      <c r="H24">
        <v>1277</v>
      </c>
      <c r="I24">
        <v>15</v>
      </c>
      <c r="J24">
        <v>69</v>
      </c>
      <c r="K24">
        <v>16</v>
      </c>
      <c r="L24">
        <v>4</v>
      </c>
      <c r="M24">
        <v>46</v>
      </c>
      <c r="O24">
        <v>4288</v>
      </c>
      <c r="P24">
        <v>42</v>
      </c>
      <c r="Q24">
        <v>3042</v>
      </c>
      <c r="R24">
        <v>2048</v>
      </c>
      <c r="T24" s="5">
        <f t="shared" si="7"/>
        <v>0.35714285714285715</v>
      </c>
      <c r="U24" s="5">
        <f t="shared" si="7"/>
        <v>2.2682445759368838E-2</v>
      </c>
      <c r="V24" s="5">
        <f t="shared" si="1"/>
        <v>0.99921752738654146</v>
      </c>
      <c r="W24" s="5">
        <f t="shared" si="2"/>
        <v>0.98460820895522383</v>
      </c>
      <c r="X24" s="5">
        <f t="shared" si="3"/>
        <v>0.99164810690423166</v>
      </c>
      <c r="Y24" s="5">
        <f t="shared" si="4"/>
        <v>2.8</v>
      </c>
      <c r="Z24" s="5">
        <f t="shared" si="5"/>
        <v>0.64285714285714279</v>
      </c>
      <c r="AA24" s="5">
        <f t="shared" si="6"/>
        <v>8.351893095768375E-3</v>
      </c>
    </row>
    <row r="25" spans="1:27" x14ac:dyDescent="0.2">
      <c r="A25">
        <v>27</v>
      </c>
      <c r="B25">
        <v>1</v>
      </c>
      <c r="C25">
        <v>1948</v>
      </c>
      <c r="D25">
        <v>0</v>
      </c>
      <c r="E25">
        <v>1244</v>
      </c>
      <c r="F25">
        <v>2622</v>
      </c>
      <c r="G25">
        <v>285</v>
      </c>
      <c r="H25">
        <v>1243</v>
      </c>
      <c r="I25">
        <v>16</v>
      </c>
      <c r="J25">
        <v>270</v>
      </c>
      <c r="K25">
        <v>26</v>
      </c>
      <c r="L25">
        <v>11</v>
      </c>
      <c r="M25">
        <v>97</v>
      </c>
      <c r="O25">
        <v>5881</v>
      </c>
      <c r="P25">
        <v>56</v>
      </c>
      <c r="Q25">
        <v>6754</v>
      </c>
      <c r="R25">
        <v>3328</v>
      </c>
      <c r="T25" s="5">
        <f t="shared" si="7"/>
        <v>0.2857142857142857</v>
      </c>
      <c r="U25" s="5">
        <f t="shared" si="7"/>
        <v>3.9976310334616523E-2</v>
      </c>
      <c r="V25" s="5">
        <f t="shared" si="1"/>
        <v>0.99919614147909963</v>
      </c>
      <c r="W25" s="5">
        <f t="shared" si="2"/>
        <v>0.5541574562149294</v>
      </c>
      <c r="X25" s="5">
        <f t="shared" si="3"/>
        <v>0.85369609856262829</v>
      </c>
      <c r="Y25" s="5">
        <f t="shared" si="4"/>
        <v>3.5</v>
      </c>
      <c r="Z25" s="5">
        <f t="shared" si="5"/>
        <v>0.7142857142857143</v>
      </c>
      <c r="AA25" s="5">
        <f t="shared" si="6"/>
        <v>0.14630390143737165</v>
      </c>
    </row>
    <row r="26" spans="1:27" x14ac:dyDescent="0.2">
      <c r="A26">
        <v>28</v>
      </c>
      <c r="B26">
        <v>1</v>
      </c>
      <c r="C26">
        <v>1872</v>
      </c>
      <c r="D26">
        <v>0</v>
      </c>
      <c r="E26">
        <v>1214</v>
      </c>
      <c r="F26">
        <v>2534</v>
      </c>
      <c r="G26">
        <v>239</v>
      </c>
      <c r="H26">
        <v>1213</v>
      </c>
      <c r="I26">
        <v>11</v>
      </c>
      <c r="J26">
        <v>1559</v>
      </c>
      <c r="K26">
        <v>960</v>
      </c>
      <c r="L26">
        <v>16</v>
      </c>
      <c r="M26">
        <v>92</v>
      </c>
      <c r="O26">
        <v>5608</v>
      </c>
      <c r="P26">
        <v>61</v>
      </c>
      <c r="Q26">
        <v>225719</v>
      </c>
      <c r="R26">
        <v>122880</v>
      </c>
      <c r="T26" s="5">
        <f t="shared" si="7"/>
        <v>0.18032786885245902</v>
      </c>
      <c r="U26" s="5">
        <f t="shared" si="7"/>
        <v>6.9068177689959641E-3</v>
      </c>
      <c r="V26" s="5">
        <f t="shared" si="1"/>
        <v>0.99917627677100496</v>
      </c>
      <c r="W26" s="5">
        <f t="shared" si="2"/>
        <v>0.54814550641940085</v>
      </c>
      <c r="X26" s="5">
        <f t="shared" si="3"/>
        <v>0.87232905982905984</v>
      </c>
      <c r="Y26" s="5">
        <f t="shared" si="4"/>
        <v>5.5454545454545459</v>
      </c>
      <c r="Z26" s="5">
        <f t="shared" si="5"/>
        <v>0.81967213114754101</v>
      </c>
      <c r="AA26" s="5">
        <f t="shared" si="6"/>
        <v>0.12767094017094016</v>
      </c>
    </row>
    <row r="27" spans="1:27" x14ac:dyDescent="0.2">
      <c r="A27" s="3" t="s">
        <v>11</v>
      </c>
      <c r="B27" s="3">
        <v>17</v>
      </c>
      <c r="C27" s="3">
        <v>1796</v>
      </c>
      <c r="D27" s="3">
        <v>0</v>
      </c>
      <c r="E27" s="3">
        <v>1278</v>
      </c>
      <c r="F27" s="3">
        <v>476</v>
      </c>
      <c r="G27" s="3">
        <v>69</v>
      </c>
      <c r="H27" s="3">
        <v>1261</v>
      </c>
      <c r="I27" s="3">
        <v>27</v>
      </c>
      <c r="J27" s="3">
        <v>49</v>
      </c>
      <c r="K27" s="3">
        <v>19</v>
      </c>
      <c r="L27" s="3">
        <v>16</v>
      </c>
      <c r="M27" s="3">
        <v>86</v>
      </c>
    </row>
    <row r="31" spans="1:27" x14ac:dyDescent="0.2">
      <c r="A31" t="s">
        <v>23</v>
      </c>
      <c r="B31" s="5">
        <f t="shared" ref="B31:M31" si="8">AVERAGE(B2:B26)</f>
        <v>2.12</v>
      </c>
      <c r="C31" s="5">
        <f t="shared" si="8"/>
        <v>1902.48</v>
      </c>
      <c r="D31" s="5">
        <f t="shared" si="8"/>
        <v>0</v>
      </c>
      <c r="E31" s="5">
        <f t="shared" si="8"/>
        <v>1191.8399999999999</v>
      </c>
      <c r="F31" s="5">
        <f t="shared" si="8"/>
        <v>2795.04</v>
      </c>
      <c r="G31" s="5">
        <f t="shared" si="8"/>
        <v>355.84</v>
      </c>
      <c r="H31" s="5">
        <f t="shared" si="8"/>
        <v>1104.28</v>
      </c>
      <c r="I31" s="5">
        <f t="shared" si="8"/>
        <v>18.684000000000001</v>
      </c>
      <c r="J31" s="5">
        <f t="shared" si="8"/>
        <v>12513.44</v>
      </c>
      <c r="K31" s="5">
        <f t="shared" si="8"/>
        <v>3748.6</v>
      </c>
      <c r="L31" s="5">
        <f t="shared" si="8"/>
        <v>10</v>
      </c>
      <c r="M31" s="5">
        <f t="shared" si="8"/>
        <v>115.56</v>
      </c>
      <c r="N31" s="5"/>
      <c r="O31" s="5">
        <f>AVERAGE(O2:O26)</f>
        <v>5560.76</v>
      </c>
      <c r="P31" s="5">
        <f>AVERAGE(P2:P26)</f>
        <v>53.36</v>
      </c>
      <c r="Q31" s="5">
        <f>AVERAGE(Q2:Q26)</f>
        <v>137574.92000000001</v>
      </c>
      <c r="R31" s="5">
        <f>AVERAGE(R2:R26)</f>
        <v>57190.400000000001</v>
      </c>
      <c r="S31" s="5"/>
      <c r="T31" s="5">
        <f t="shared" ref="T31:AA31" si="9">AVERAGE(T2:T26)</f>
        <v>0.35689493693701296</v>
      </c>
      <c r="U31" s="5">
        <f t="shared" si="9"/>
        <v>0.17027035040412397</v>
      </c>
      <c r="V31" s="5">
        <f t="shared" si="9"/>
        <v>0.92028915379507426</v>
      </c>
      <c r="W31" s="5">
        <f t="shared" si="9"/>
        <v>0.54997282046056772</v>
      </c>
      <c r="X31" s="5">
        <f t="shared" si="9"/>
        <v>0.82551373881146428</v>
      </c>
      <c r="Y31" s="6">
        <f t="shared" si="9"/>
        <v>17.246420530960901</v>
      </c>
      <c r="Z31" s="5">
        <f t="shared" si="9"/>
        <v>0.6431050630629872</v>
      </c>
      <c r="AA31" s="5">
        <f t="shared" si="9"/>
        <v>0.17448626118853583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tabSelected="1" topLeftCell="A5" workbookViewId="0">
      <selection activeCell="P19" sqref="P19"/>
    </sheetView>
  </sheetViews>
  <sheetFormatPr baseColWidth="10" defaultRowHeight="16" x14ac:dyDescent="0.2"/>
  <cols>
    <col min="4" max="4" width="10.5" bestFit="1" customWidth="1"/>
    <col min="11" max="11" width="8.83203125" bestFit="1" customWidth="1"/>
    <col min="14" max="14" width="3.5" style="2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7</v>
      </c>
      <c r="M1" s="1" t="s">
        <v>8</v>
      </c>
      <c r="O1" s="1" t="s">
        <v>10</v>
      </c>
      <c r="P1" s="1" t="s">
        <v>5</v>
      </c>
      <c r="Q1" s="1" t="s">
        <v>6</v>
      </c>
      <c r="R1" s="1" t="s">
        <v>9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1:27" x14ac:dyDescent="0.2">
      <c r="A2">
        <v>0</v>
      </c>
      <c r="B2">
        <v>1</v>
      </c>
      <c r="C2">
        <v>1850</v>
      </c>
      <c r="D2">
        <v>0</v>
      </c>
      <c r="E2">
        <v>1218</v>
      </c>
      <c r="F2">
        <v>1829</v>
      </c>
      <c r="G2">
        <v>183</v>
      </c>
      <c r="H2">
        <v>1217</v>
      </c>
      <c r="I2">
        <v>28</v>
      </c>
      <c r="J2">
        <v>135</v>
      </c>
      <c r="K2">
        <v>8</v>
      </c>
      <c r="L2">
        <v>14</v>
      </c>
      <c r="M2">
        <v>62</v>
      </c>
      <c r="O2">
        <v>5289</v>
      </c>
      <c r="P2">
        <v>39</v>
      </c>
      <c r="Q2">
        <v>2535</v>
      </c>
      <c r="R2">
        <v>1024</v>
      </c>
      <c r="T2" s="5">
        <f>I2/P2</f>
        <v>0.71794871794871795</v>
      </c>
      <c r="U2" s="5">
        <f>J2/Q2</f>
        <v>5.3254437869822487E-2</v>
      </c>
      <c r="V2" s="5">
        <f>H2/E2</f>
        <v>0.99917898193760257</v>
      </c>
      <c r="W2" s="5">
        <f>(O2-F2)/O2</f>
        <v>0.65418793722820945</v>
      </c>
      <c r="X2" s="5">
        <f>(C2-G2)/C2</f>
        <v>0.90108108108108109</v>
      </c>
      <c r="Y2" s="5">
        <f>P2/I2</f>
        <v>1.3928571428571428</v>
      </c>
      <c r="Z2" s="5">
        <f>1-T2</f>
        <v>0.28205128205128205</v>
      </c>
      <c r="AA2" s="5">
        <f>G2/C2</f>
        <v>9.8918918918918922E-2</v>
      </c>
    </row>
    <row r="3" spans="1:27" x14ac:dyDescent="0.2">
      <c r="A3">
        <v>1</v>
      </c>
      <c r="B3">
        <v>13</v>
      </c>
      <c r="C3">
        <v>1714</v>
      </c>
      <c r="D3">
        <v>0</v>
      </c>
      <c r="E3">
        <v>1139</v>
      </c>
      <c r="F3">
        <v>1689</v>
      </c>
      <c r="G3">
        <v>170</v>
      </c>
      <c r="H3">
        <v>18</v>
      </c>
      <c r="I3">
        <v>37</v>
      </c>
      <c r="J3">
        <v>444</v>
      </c>
      <c r="K3">
        <v>165</v>
      </c>
      <c r="L3">
        <v>6</v>
      </c>
      <c r="M3">
        <v>50</v>
      </c>
      <c r="O3">
        <v>4867</v>
      </c>
      <c r="P3">
        <v>39</v>
      </c>
      <c r="Q3">
        <v>13693</v>
      </c>
      <c r="R3">
        <v>9600</v>
      </c>
      <c r="T3" s="5">
        <f t="shared" ref="T3:U20" si="0">I3/P3</f>
        <v>0.94871794871794868</v>
      </c>
      <c r="U3" s="5">
        <f t="shared" si="0"/>
        <v>3.242532680931863E-2</v>
      </c>
      <c r="V3" s="5">
        <f t="shared" ref="V3:V20" si="1">H3/E3</f>
        <v>1.5803336259877086E-2</v>
      </c>
      <c r="W3" s="5">
        <f t="shared" ref="W3:W20" si="2">(O3-F3)/O3</f>
        <v>0.65296897472775839</v>
      </c>
      <c r="X3" s="5">
        <f t="shared" ref="X3:X20" si="3">(C3-G3)/C3</f>
        <v>0.90081680280046672</v>
      </c>
      <c r="Y3" s="5">
        <f t="shared" ref="Y3:Y20" si="4">P3/I3</f>
        <v>1.0540540540540539</v>
      </c>
      <c r="Z3" s="5">
        <f t="shared" ref="Z3:Z20" si="5">1-T3</f>
        <v>5.1282051282051322E-2</v>
      </c>
      <c r="AA3" s="5">
        <f t="shared" ref="AA3:AA20" si="6">G3/C3</f>
        <v>9.9183197199533252E-2</v>
      </c>
    </row>
    <row r="4" spans="1:27" x14ac:dyDescent="0.2">
      <c r="A4">
        <v>3</v>
      </c>
      <c r="B4">
        <v>1</v>
      </c>
      <c r="C4">
        <v>1880</v>
      </c>
      <c r="D4">
        <v>0</v>
      </c>
      <c r="E4">
        <v>1188</v>
      </c>
      <c r="F4">
        <v>2554</v>
      </c>
      <c r="G4">
        <v>243</v>
      </c>
      <c r="H4">
        <v>1187</v>
      </c>
      <c r="I4">
        <v>14</v>
      </c>
      <c r="J4">
        <v>1728</v>
      </c>
      <c r="K4">
        <v>1632</v>
      </c>
      <c r="L4">
        <v>8</v>
      </c>
      <c r="M4">
        <v>100</v>
      </c>
      <c r="O4">
        <v>5789</v>
      </c>
      <c r="P4">
        <v>56</v>
      </c>
      <c r="Q4">
        <v>399254</v>
      </c>
      <c r="R4">
        <v>208896</v>
      </c>
      <c r="T4" s="5">
        <f t="shared" si="0"/>
        <v>0.25</v>
      </c>
      <c r="U4" s="5">
        <f t="shared" si="0"/>
        <v>4.3280718540077241E-3</v>
      </c>
      <c r="V4" s="5">
        <f t="shared" si="1"/>
        <v>0.99915824915824913</v>
      </c>
      <c r="W4" s="5">
        <f t="shared" si="2"/>
        <v>0.55881844878217313</v>
      </c>
      <c r="X4" s="5">
        <f t="shared" si="3"/>
        <v>0.87074468085106382</v>
      </c>
      <c r="Y4" s="5">
        <f t="shared" si="4"/>
        <v>4</v>
      </c>
      <c r="Z4" s="5">
        <f t="shared" si="5"/>
        <v>0.75</v>
      </c>
      <c r="AA4" s="5">
        <f t="shared" si="6"/>
        <v>0.12925531914893618</v>
      </c>
    </row>
    <row r="5" spans="1:27" x14ac:dyDescent="0.2">
      <c r="A5">
        <v>4</v>
      </c>
      <c r="B5">
        <v>1</v>
      </c>
      <c r="C5">
        <v>1886</v>
      </c>
      <c r="D5">
        <v>0</v>
      </c>
      <c r="E5">
        <v>1274</v>
      </c>
      <c r="F5">
        <v>1626</v>
      </c>
      <c r="G5">
        <v>193</v>
      </c>
      <c r="H5">
        <v>1273</v>
      </c>
      <c r="I5">
        <v>8</v>
      </c>
      <c r="J5">
        <v>163</v>
      </c>
      <c r="K5">
        <v>22</v>
      </c>
      <c r="L5">
        <v>10</v>
      </c>
      <c r="M5">
        <v>80</v>
      </c>
      <c r="O5">
        <v>5134</v>
      </c>
      <c r="P5">
        <v>43</v>
      </c>
      <c r="Q5">
        <v>4401</v>
      </c>
      <c r="R5">
        <v>2816</v>
      </c>
      <c r="T5" s="5">
        <f t="shared" si="0"/>
        <v>0.18604651162790697</v>
      </c>
      <c r="U5" s="5">
        <f t="shared" si="0"/>
        <v>3.7037037037037035E-2</v>
      </c>
      <c r="V5" s="5">
        <f t="shared" si="1"/>
        <v>0.99921507064364212</v>
      </c>
      <c r="W5" s="5">
        <f t="shared" si="2"/>
        <v>0.6832878846903</v>
      </c>
      <c r="X5" s="5">
        <f t="shared" si="3"/>
        <v>0.89766702014846234</v>
      </c>
      <c r="Y5" s="5">
        <f t="shared" si="4"/>
        <v>5.375</v>
      </c>
      <c r="Z5" s="5">
        <f t="shared" si="5"/>
        <v>0.81395348837209303</v>
      </c>
      <c r="AA5" s="5">
        <f t="shared" si="6"/>
        <v>0.10233297985153765</v>
      </c>
    </row>
    <row r="6" spans="1:27" x14ac:dyDescent="0.2">
      <c r="A6">
        <v>5</v>
      </c>
      <c r="B6">
        <v>2</v>
      </c>
      <c r="C6">
        <v>2276</v>
      </c>
      <c r="D6">
        <v>0</v>
      </c>
      <c r="E6">
        <v>1081</v>
      </c>
      <c r="F6">
        <v>7715</v>
      </c>
      <c r="G6">
        <v>1180</v>
      </c>
      <c r="H6">
        <v>1079</v>
      </c>
      <c r="I6">
        <v>31</v>
      </c>
      <c r="J6">
        <v>6108</v>
      </c>
      <c r="K6">
        <v>2050</v>
      </c>
      <c r="L6">
        <v>12</v>
      </c>
      <c r="M6">
        <v>294</v>
      </c>
      <c r="O6">
        <v>7559</v>
      </c>
      <c r="P6">
        <v>103</v>
      </c>
      <c r="Q6">
        <v>8788</v>
      </c>
      <c r="R6">
        <v>4096</v>
      </c>
      <c r="T6" s="5">
        <f t="shared" si="0"/>
        <v>0.30097087378640774</v>
      </c>
      <c r="U6" s="5">
        <f t="shared" si="0"/>
        <v>0.69503868912152933</v>
      </c>
      <c r="V6" s="5">
        <f t="shared" si="1"/>
        <v>0.99814986123959293</v>
      </c>
      <c r="W6" s="5">
        <f t="shared" si="2"/>
        <v>-2.0637650482868104E-2</v>
      </c>
      <c r="X6" s="5">
        <f t="shared" si="3"/>
        <v>0.48154657293497366</v>
      </c>
      <c r="Y6" s="5">
        <f t="shared" si="4"/>
        <v>3.3225806451612905</v>
      </c>
      <c r="Z6" s="5">
        <f t="shared" si="5"/>
        <v>0.69902912621359226</v>
      </c>
      <c r="AA6" s="5">
        <f t="shared" si="6"/>
        <v>0.5184534270650264</v>
      </c>
    </row>
    <row r="7" spans="1:27" x14ac:dyDescent="0.2">
      <c r="A7">
        <v>6</v>
      </c>
      <c r="B7">
        <v>1</v>
      </c>
      <c r="C7">
        <v>1985</v>
      </c>
      <c r="D7">
        <v>0</v>
      </c>
      <c r="E7">
        <v>1031</v>
      </c>
      <c r="F7">
        <v>6555</v>
      </c>
      <c r="G7">
        <v>939</v>
      </c>
      <c r="H7">
        <v>1030</v>
      </c>
      <c r="I7">
        <v>25</v>
      </c>
      <c r="J7">
        <v>768</v>
      </c>
      <c r="K7">
        <v>256</v>
      </c>
      <c r="L7">
        <v>8</v>
      </c>
      <c r="M7">
        <v>191</v>
      </c>
      <c r="O7">
        <v>6598</v>
      </c>
      <c r="P7">
        <v>87</v>
      </c>
      <c r="Q7">
        <v>910</v>
      </c>
      <c r="R7">
        <v>256</v>
      </c>
      <c r="T7" s="5">
        <f t="shared" si="0"/>
        <v>0.28735632183908044</v>
      </c>
      <c r="U7" s="5">
        <f t="shared" si="0"/>
        <v>0.84395604395604396</v>
      </c>
      <c r="V7" s="5">
        <f t="shared" si="1"/>
        <v>0.99903006789524729</v>
      </c>
      <c r="W7" s="5">
        <f t="shared" si="2"/>
        <v>6.517126401939982E-3</v>
      </c>
      <c r="X7" s="5">
        <f t="shared" si="3"/>
        <v>0.52695214105793453</v>
      </c>
      <c r="Y7" s="5">
        <f t="shared" si="4"/>
        <v>3.48</v>
      </c>
      <c r="Z7" s="5">
        <f t="shared" si="5"/>
        <v>0.71264367816091956</v>
      </c>
      <c r="AA7" s="5">
        <f t="shared" si="6"/>
        <v>0.47304785894206547</v>
      </c>
    </row>
    <row r="8" spans="1:27" x14ac:dyDescent="0.2">
      <c r="A8">
        <v>7</v>
      </c>
      <c r="B8">
        <v>2</v>
      </c>
      <c r="C8">
        <v>1872</v>
      </c>
      <c r="D8">
        <v>0</v>
      </c>
      <c r="E8">
        <v>1214</v>
      </c>
      <c r="F8">
        <v>2488</v>
      </c>
      <c r="G8">
        <v>239</v>
      </c>
      <c r="H8">
        <v>1212</v>
      </c>
      <c r="I8">
        <v>13</v>
      </c>
      <c r="J8">
        <v>763</v>
      </c>
      <c r="K8">
        <v>396</v>
      </c>
      <c r="L8">
        <v>6</v>
      </c>
      <c r="M8">
        <v>96</v>
      </c>
      <c r="O8">
        <v>5568</v>
      </c>
      <c r="P8">
        <v>54</v>
      </c>
      <c r="Q8">
        <v>1979207</v>
      </c>
      <c r="R8">
        <v>778240</v>
      </c>
      <c r="T8" s="5">
        <f t="shared" si="0"/>
        <v>0.24074074074074073</v>
      </c>
      <c r="U8" s="5">
        <f t="shared" si="0"/>
        <v>3.8550793322780286E-4</v>
      </c>
      <c r="V8" s="5">
        <f t="shared" si="1"/>
        <v>0.99835255354200991</v>
      </c>
      <c r="W8" s="5">
        <f t="shared" si="2"/>
        <v>0.55316091954022983</v>
      </c>
      <c r="X8" s="5">
        <f t="shared" si="3"/>
        <v>0.87232905982905984</v>
      </c>
      <c r="Y8" s="5">
        <f t="shared" si="4"/>
        <v>4.1538461538461542</v>
      </c>
      <c r="Z8" s="5">
        <f t="shared" si="5"/>
        <v>0.7592592592592593</v>
      </c>
      <c r="AA8" s="5">
        <f t="shared" si="6"/>
        <v>0.12767094017094016</v>
      </c>
    </row>
    <row r="9" spans="1:27" x14ac:dyDescent="0.2">
      <c r="A9">
        <v>8</v>
      </c>
      <c r="B9">
        <v>1</v>
      </c>
      <c r="C9">
        <v>1822</v>
      </c>
      <c r="D9">
        <v>0</v>
      </c>
      <c r="E9">
        <v>1248</v>
      </c>
      <c r="F9">
        <v>1148</v>
      </c>
      <c r="G9">
        <v>125</v>
      </c>
      <c r="H9">
        <v>1247</v>
      </c>
      <c r="I9">
        <v>10</v>
      </c>
      <c r="J9">
        <v>172</v>
      </c>
      <c r="K9">
        <v>24</v>
      </c>
      <c r="L9">
        <v>5</v>
      </c>
      <c r="M9">
        <v>56</v>
      </c>
      <c r="O9">
        <v>4822</v>
      </c>
      <c r="P9">
        <v>30</v>
      </c>
      <c r="Q9">
        <v>4643</v>
      </c>
      <c r="R9">
        <v>3072</v>
      </c>
      <c r="T9" s="5">
        <f t="shared" si="0"/>
        <v>0.33333333333333331</v>
      </c>
      <c r="U9" s="5">
        <f t="shared" si="0"/>
        <v>3.7045013999569242E-2</v>
      </c>
      <c r="V9" s="5">
        <f t="shared" si="1"/>
        <v>0.99919871794871795</v>
      </c>
      <c r="W9" s="5">
        <f t="shared" si="2"/>
        <v>0.76192451265035255</v>
      </c>
      <c r="X9" s="5">
        <f t="shared" si="3"/>
        <v>0.93139407244785954</v>
      </c>
      <c r="Y9" s="5">
        <f t="shared" si="4"/>
        <v>3</v>
      </c>
      <c r="Z9" s="5">
        <f t="shared" si="5"/>
        <v>0.66666666666666674</v>
      </c>
      <c r="AA9" s="5">
        <f t="shared" si="6"/>
        <v>6.8605927552140511E-2</v>
      </c>
    </row>
    <row r="10" spans="1:27" x14ac:dyDescent="0.2">
      <c r="A10">
        <v>9</v>
      </c>
      <c r="B10">
        <v>1</v>
      </c>
      <c r="C10">
        <v>1822</v>
      </c>
      <c r="D10">
        <v>0</v>
      </c>
      <c r="E10">
        <v>1248</v>
      </c>
      <c r="F10">
        <v>1151</v>
      </c>
      <c r="G10">
        <v>125</v>
      </c>
      <c r="H10">
        <v>1247</v>
      </c>
      <c r="I10">
        <v>15</v>
      </c>
      <c r="J10">
        <v>50</v>
      </c>
      <c r="K10">
        <v>4</v>
      </c>
      <c r="L10">
        <v>19</v>
      </c>
      <c r="M10">
        <v>62</v>
      </c>
      <c r="O10">
        <v>4824</v>
      </c>
      <c r="P10">
        <v>31</v>
      </c>
      <c r="Q10">
        <v>981</v>
      </c>
      <c r="R10">
        <v>512</v>
      </c>
      <c r="T10" s="5">
        <f t="shared" si="0"/>
        <v>0.4838709677419355</v>
      </c>
      <c r="U10" s="5">
        <f t="shared" si="0"/>
        <v>5.09683995922528E-2</v>
      </c>
      <c r="V10" s="5">
        <f t="shared" si="1"/>
        <v>0.99919871794871795</v>
      </c>
      <c r="W10" s="5">
        <f t="shared" si="2"/>
        <v>0.76140132669983418</v>
      </c>
      <c r="X10" s="5">
        <f t="shared" si="3"/>
        <v>0.93139407244785954</v>
      </c>
      <c r="Y10" s="5">
        <f t="shared" si="4"/>
        <v>2.0666666666666669</v>
      </c>
      <c r="Z10" s="5">
        <f t="shared" si="5"/>
        <v>0.5161290322580645</v>
      </c>
      <c r="AA10" s="5">
        <f t="shared" si="6"/>
        <v>6.8605927552140511E-2</v>
      </c>
    </row>
    <row r="11" spans="1:27" x14ac:dyDescent="0.2">
      <c r="A11">
        <v>11</v>
      </c>
      <c r="B11">
        <v>1</v>
      </c>
      <c r="C11">
        <v>1886</v>
      </c>
      <c r="D11">
        <v>0</v>
      </c>
      <c r="E11">
        <v>1274</v>
      </c>
      <c r="F11">
        <v>1629</v>
      </c>
      <c r="G11">
        <v>193</v>
      </c>
      <c r="H11">
        <v>1273</v>
      </c>
      <c r="I11">
        <v>12</v>
      </c>
      <c r="J11">
        <v>49</v>
      </c>
      <c r="K11">
        <v>2</v>
      </c>
      <c r="L11">
        <v>20</v>
      </c>
      <c r="M11">
        <v>171</v>
      </c>
      <c r="O11">
        <v>5136</v>
      </c>
      <c r="P11">
        <v>47</v>
      </c>
      <c r="Q11">
        <v>642</v>
      </c>
      <c r="R11">
        <v>256</v>
      </c>
      <c r="T11" s="5">
        <f t="shared" si="0"/>
        <v>0.25531914893617019</v>
      </c>
      <c r="U11" s="5">
        <f t="shared" si="0"/>
        <v>7.6323987538940805E-2</v>
      </c>
      <c r="V11" s="5">
        <f t="shared" si="1"/>
        <v>0.99921507064364212</v>
      </c>
      <c r="W11" s="5">
        <f t="shared" si="2"/>
        <v>0.68282710280373837</v>
      </c>
      <c r="X11" s="5">
        <f t="shared" si="3"/>
        <v>0.89766702014846234</v>
      </c>
      <c r="Y11" s="5">
        <f t="shared" si="4"/>
        <v>3.9166666666666665</v>
      </c>
      <c r="Z11" s="5">
        <f t="shared" si="5"/>
        <v>0.74468085106382986</v>
      </c>
      <c r="AA11" s="5">
        <f t="shared" si="6"/>
        <v>0.10233297985153765</v>
      </c>
    </row>
    <row r="12" spans="1:27" x14ac:dyDescent="0.2">
      <c r="A12">
        <v>12</v>
      </c>
      <c r="B12">
        <v>1</v>
      </c>
      <c r="C12">
        <v>1822</v>
      </c>
      <c r="D12">
        <v>0</v>
      </c>
      <c r="E12">
        <v>1248</v>
      </c>
      <c r="F12">
        <v>1175</v>
      </c>
      <c r="G12">
        <v>125</v>
      </c>
      <c r="H12">
        <v>1247</v>
      </c>
      <c r="I12">
        <v>19</v>
      </c>
      <c r="J12">
        <v>164</v>
      </c>
      <c r="K12">
        <v>24</v>
      </c>
      <c r="L12">
        <v>8</v>
      </c>
      <c r="M12">
        <v>74</v>
      </c>
      <c r="O12">
        <v>4838</v>
      </c>
      <c r="P12">
        <v>35</v>
      </c>
      <c r="Q12">
        <v>4950</v>
      </c>
      <c r="R12">
        <v>3072</v>
      </c>
      <c r="T12" s="5">
        <f t="shared" si="0"/>
        <v>0.54285714285714282</v>
      </c>
      <c r="U12" s="5">
        <f t="shared" si="0"/>
        <v>3.313131313131313E-2</v>
      </c>
      <c r="V12" s="5">
        <f t="shared" si="1"/>
        <v>0.99919871794871795</v>
      </c>
      <c r="W12" s="5">
        <f t="shared" si="2"/>
        <v>0.75713104588673008</v>
      </c>
      <c r="X12" s="5">
        <f t="shared" si="3"/>
        <v>0.93139407244785954</v>
      </c>
      <c r="Y12" s="5">
        <f t="shared" si="4"/>
        <v>1.8421052631578947</v>
      </c>
      <c r="Z12" s="5">
        <f t="shared" si="5"/>
        <v>0.45714285714285718</v>
      </c>
      <c r="AA12" s="5">
        <f t="shared" si="6"/>
        <v>6.8605927552140511E-2</v>
      </c>
    </row>
    <row r="13" spans="1:27" x14ac:dyDescent="0.2">
      <c r="A13">
        <v>13</v>
      </c>
      <c r="B13">
        <v>1</v>
      </c>
      <c r="C13">
        <v>1796</v>
      </c>
      <c r="D13">
        <v>0</v>
      </c>
      <c r="E13">
        <v>1278</v>
      </c>
      <c r="F13">
        <v>4</v>
      </c>
      <c r="G13">
        <v>2</v>
      </c>
      <c r="H13">
        <v>1277</v>
      </c>
      <c r="I13">
        <v>0.1</v>
      </c>
      <c r="J13">
        <v>7</v>
      </c>
      <c r="K13">
        <v>2</v>
      </c>
      <c r="L13">
        <v>5</v>
      </c>
      <c r="M13">
        <v>58</v>
      </c>
      <c r="O13">
        <v>4300</v>
      </c>
      <c r="P13">
        <v>35</v>
      </c>
      <c r="Q13">
        <v>1286</v>
      </c>
      <c r="R13">
        <v>512</v>
      </c>
      <c r="T13" s="5">
        <f t="shared" si="0"/>
        <v>2.8571428571428571E-3</v>
      </c>
      <c r="U13" s="5">
        <f t="shared" si="0"/>
        <v>5.4432348367029551E-3</v>
      </c>
      <c r="V13" s="5">
        <f t="shared" si="1"/>
        <v>0.99921752738654146</v>
      </c>
      <c r="W13" s="5">
        <f t="shared" si="2"/>
        <v>0.99906976744186049</v>
      </c>
      <c r="X13" s="5">
        <f t="shared" si="3"/>
        <v>0.99888641425389757</v>
      </c>
      <c r="Y13" s="5">
        <f t="shared" si="4"/>
        <v>350</v>
      </c>
      <c r="Z13" s="5">
        <f t="shared" si="5"/>
        <v>0.99714285714285711</v>
      </c>
      <c r="AA13" s="5">
        <f t="shared" si="6"/>
        <v>1.1135857461024498E-3</v>
      </c>
    </row>
    <row r="14" spans="1:27" x14ac:dyDescent="0.2">
      <c r="A14">
        <v>14</v>
      </c>
      <c r="B14">
        <v>1</v>
      </c>
      <c r="C14">
        <v>1880</v>
      </c>
      <c r="D14">
        <v>0</v>
      </c>
      <c r="E14">
        <v>1188</v>
      </c>
      <c r="F14">
        <v>2587</v>
      </c>
      <c r="G14">
        <v>243</v>
      </c>
      <c r="H14">
        <v>1187</v>
      </c>
      <c r="I14">
        <v>15</v>
      </c>
      <c r="J14">
        <v>233</v>
      </c>
      <c r="K14">
        <v>16</v>
      </c>
      <c r="L14">
        <v>10</v>
      </c>
      <c r="M14">
        <v>104</v>
      </c>
      <c r="O14">
        <v>5809</v>
      </c>
      <c r="P14">
        <v>43</v>
      </c>
      <c r="Q14">
        <v>5198</v>
      </c>
      <c r="R14">
        <v>2048</v>
      </c>
      <c r="T14" s="5">
        <f t="shared" si="0"/>
        <v>0.34883720930232559</v>
      </c>
      <c r="U14" s="5">
        <f t="shared" si="0"/>
        <v>4.4824932666410161E-2</v>
      </c>
      <c r="V14" s="5">
        <f t="shared" si="1"/>
        <v>0.99915824915824913</v>
      </c>
      <c r="W14" s="5">
        <f t="shared" si="2"/>
        <v>0.55465656739542091</v>
      </c>
      <c r="X14" s="5">
        <f t="shared" si="3"/>
        <v>0.87074468085106382</v>
      </c>
      <c r="Y14" s="5">
        <f t="shared" si="4"/>
        <v>2.8666666666666667</v>
      </c>
      <c r="Z14" s="5">
        <f t="shared" si="5"/>
        <v>0.65116279069767447</v>
      </c>
      <c r="AA14" s="5">
        <f t="shared" si="6"/>
        <v>0.12925531914893618</v>
      </c>
    </row>
    <row r="15" spans="1:27" x14ac:dyDescent="0.2">
      <c r="A15">
        <v>15</v>
      </c>
      <c r="B15">
        <v>1</v>
      </c>
      <c r="C15">
        <v>1822</v>
      </c>
      <c r="D15">
        <v>0</v>
      </c>
      <c r="E15">
        <v>1248</v>
      </c>
      <c r="F15">
        <v>1139</v>
      </c>
      <c r="G15">
        <v>125</v>
      </c>
      <c r="H15">
        <v>1247</v>
      </c>
      <c r="I15">
        <v>8</v>
      </c>
      <c r="J15">
        <v>50</v>
      </c>
      <c r="K15">
        <v>4</v>
      </c>
      <c r="L15">
        <v>7</v>
      </c>
      <c r="M15">
        <v>56</v>
      </c>
      <c r="O15">
        <v>4817</v>
      </c>
      <c r="P15">
        <v>43</v>
      </c>
      <c r="Q15">
        <v>1044</v>
      </c>
      <c r="R15">
        <v>512</v>
      </c>
      <c r="T15" s="5">
        <f t="shared" si="0"/>
        <v>0.18604651162790697</v>
      </c>
      <c r="U15" s="5">
        <f t="shared" si="0"/>
        <v>4.7892720306513412E-2</v>
      </c>
      <c r="V15" s="5">
        <f t="shared" si="1"/>
        <v>0.99919871794871795</v>
      </c>
      <c r="W15" s="5">
        <f t="shared" si="2"/>
        <v>0.76354577537886648</v>
      </c>
      <c r="X15" s="5">
        <f t="shared" si="3"/>
        <v>0.93139407244785954</v>
      </c>
      <c r="Y15" s="5">
        <f t="shared" si="4"/>
        <v>5.375</v>
      </c>
      <c r="Z15" s="5">
        <f t="shared" si="5"/>
        <v>0.81395348837209303</v>
      </c>
      <c r="AA15" s="5">
        <f t="shared" si="6"/>
        <v>6.8605927552140511E-2</v>
      </c>
    </row>
    <row r="16" spans="1:27" x14ac:dyDescent="0.2">
      <c r="A16">
        <v>16</v>
      </c>
      <c r="B16">
        <v>1</v>
      </c>
      <c r="C16">
        <v>2154</v>
      </c>
      <c r="D16">
        <v>0</v>
      </c>
      <c r="E16">
        <v>1005</v>
      </c>
      <c r="F16">
        <v>7846</v>
      </c>
      <c r="G16">
        <v>1134</v>
      </c>
      <c r="H16">
        <v>1004</v>
      </c>
      <c r="I16">
        <v>44</v>
      </c>
      <c r="J16">
        <v>7001</v>
      </c>
      <c r="K16">
        <v>3584</v>
      </c>
      <c r="L16">
        <v>7</v>
      </c>
      <c r="M16">
        <v>241</v>
      </c>
      <c r="O16">
        <v>7669</v>
      </c>
      <c r="P16">
        <v>100</v>
      </c>
      <c r="Q16">
        <v>7665</v>
      </c>
      <c r="R16">
        <v>3584</v>
      </c>
      <c r="T16" s="5">
        <f t="shared" si="0"/>
        <v>0.44</v>
      </c>
      <c r="U16" s="5">
        <f t="shared" si="0"/>
        <v>0.91337247227658191</v>
      </c>
      <c r="V16" s="5">
        <f t="shared" si="1"/>
        <v>0.99900497512437814</v>
      </c>
      <c r="W16" s="5">
        <f t="shared" si="2"/>
        <v>-2.3079932194549485E-2</v>
      </c>
      <c r="X16" s="5">
        <f t="shared" si="3"/>
        <v>0.47353760445682452</v>
      </c>
      <c r="Y16" s="5">
        <f t="shared" si="4"/>
        <v>2.2727272727272729</v>
      </c>
      <c r="Z16" s="5">
        <f t="shared" si="5"/>
        <v>0.56000000000000005</v>
      </c>
      <c r="AA16" s="5">
        <f t="shared" si="6"/>
        <v>0.52646239554317553</v>
      </c>
    </row>
    <row r="17" spans="1:27" x14ac:dyDescent="0.2">
      <c r="A17">
        <v>17</v>
      </c>
      <c r="B17">
        <v>13</v>
      </c>
      <c r="C17">
        <v>1722</v>
      </c>
      <c r="D17">
        <v>0</v>
      </c>
      <c r="E17">
        <v>1056</v>
      </c>
      <c r="F17">
        <v>3025</v>
      </c>
      <c r="G17">
        <v>329</v>
      </c>
      <c r="H17">
        <v>15</v>
      </c>
      <c r="I17">
        <v>53</v>
      </c>
      <c r="J17">
        <v>495</v>
      </c>
      <c r="K17">
        <v>147</v>
      </c>
      <c r="L17">
        <v>8</v>
      </c>
      <c r="M17">
        <v>74</v>
      </c>
      <c r="O17">
        <v>5572</v>
      </c>
      <c r="P17">
        <v>56</v>
      </c>
      <c r="Q17">
        <v>9330</v>
      </c>
      <c r="R17">
        <v>4224</v>
      </c>
      <c r="T17" s="5">
        <f t="shared" si="0"/>
        <v>0.9464285714285714</v>
      </c>
      <c r="U17" s="5">
        <f t="shared" si="0"/>
        <v>5.3054662379421219E-2</v>
      </c>
      <c r="V17" s="5">
        <f t="shared" si="1"/>
        <v>1.4204545454545454E-2</v>
      </c>
      <c r="W17" s="5">
        <f t="shared" si="2"/>
        <v>0.45710696338837042</v>
      </c>
      <c r="X17" s="5">
        <f t="shared" si="3"/>
        <v>0.80894308943089432</v>
      </c>
      <c r="Y17" s="5">
        <f t="shared" si="4"/>
        <v>1.0566037735849056</v>
      </c>
      <c r="Z17" s="5">
        <f t="shared" si="5"/>
        <v>5.3571428571428603E-2</v>
      </c>
      <c r="AA17" s="5">
        <f t="shared" si="6"/>
        <v>0.1910569105691057</v>
      </c>
    </row>
    <row r="18" spans="1:27" x14ac:dyDescent="0.2">
      <c r="A18" s="9">
        <v>18</v>
      </c>
      <c r="B18">
        <v>1</v>
      </c>
      <c r="C18">
        <v>1936</v>
      </c>
      <c r="D18">
        <v>0</v>
      </c>
      <c r="E18">
        <v>1154</v>
      </c>
      <c r="F18">
        <v>3836</v>
      </c>
      <c r="G18">
        <v>363</v>
      </c>
      <c r="H18">
        <v>1153</v>
      </c>
      <c r="I18">
        <v>27</v>
      </c>
      <c r="J18">
        <v>2866</v>
      </c>
      <c r="K18">
        <v>2268</v>
      </c>
      <c r="L18">
        <v>3</v>
      </c>
      <c r="M18">
        <v>91</v>
      </c>
      <c r="O18">
        <v>6672</v>
      </c>
      <c r="P18">
        <v>108</v>
      </c>
      <c r="Q18">
        <v>854142</v>
      </c>
      <c r="R18">
        <v>290304</v>
      </c>
      <c r="T18" s="5">
        <f t="shared" si="0"/>
        <v>0.25</v>
      </c>
      <c r="U18" s="5">
        <f t="shared" si="0"/>
        <v>3.3554139709790643E-3</v>
      </c>
      <c r="V18" s="5">
        <f t="shared" si="1"/>
        <v>0.99913344887348354</v>
      </c>
      <c r="W18" s="5">
        <f t="shared" si="2"/>
        <v>0.42505995203836933</v>
      </c>
      <c r="X18" s="5">
        <f t="shared" si="3"/>
        <v>0.8125</v>
      </c>
      <c r="Y18" s="5">
        <f t="shared" si="4"/>
        <v>4</v>
      </c>
      <c r="Z18" s="5">
        <f t="shared" si="5"/>
        <v>0.75</v>
      </c>
      <c r="AA18" s="5">
        <f t="shared" si="6"/>
        <v>0.1875</v>
      </c>
    </row>
    <row r="19" spans="1:27" x14ac:dyDescent="0.2">
      <c r="A19">
        <v>19</v>
      </c>
      <c r="B19">
        <v>1</v>
      </c>
      <c r="C19">
        <v>1807</v>
      </c>
      <c r="D19">
        <v>0</v>
      </c>
      <c r="E19">
        <v>1248</v>
      </c>
      <c r="F19">
        <v>1022</v>
      </c>
      <c r="G19">
        <v>110</v>
      </c>
      <c r="H19">
        <v>1247</v>
      </c>
      <c r="I19">
        <v>8</v>
      </c>
      <c r="J19">
        <v>154</v>
      </c>
      <c r="K19">
        <v>24</v>
      </c>
      <c r="L19">
        <v>7</v>
      </c>
      <c r="M19">
        <v>63</v>
      </c>
      <c r="O19">
        <v>4730</v>
      </c>
      <c r="P19">
        <v>39</v>
      </c>
      <c r="Q19">
        <v>4969</v>
      </c>
      <c r="R19">
        <v>3072</v>
      </c>
      <c r="T19" s="5">
        <f t="shared" si="0"/>
        <v>0.20512820512820512</v>
      </c>
      <c r="U19" s="5">
        <f t="shared" si="0"/>
        <v>3.0992151338297445E-2</v>
      </c>
      <c r="V19" s="5">
        <f t="shared" si="1"/>
        <v>0.99919871794871795</v>
      </c>
      <c r="W19" s="5">
        <f t="shared" si="2"/>
        <v>0.78393234672304435</v>
      </c>
      <c r="X19" s="5">
        <f t="shared" si="3"/>
        <v>0.93912562257886001</v>
      </c>
      <c r="Y19" s="5">
        <f t="shared" si="4"/>
        <v>4.875</v>
      </c>
      <c r="Z19" s="5">
        <f t="shared" si="5"/>
        <v>0.79487179487179493</v>
      </c>
      <c r="AA19" s="5">
        <f t="shared" si="6"/>
        <v>6.0874377421140012E-2</v>
      </c>
    </row>
    <row r="20" spans="1:27" x14ac:dyDescent="0.2">
      <c r="A20">
        <v>20</v>
      </c>
      <c r="B20">
        <v>1</v>
      </c>
      <c r="C20">
        <v>1850</v>
      </c>
      <c r="D20">
        <v>0</v>
      </c>
      <c r="E20">
        <v>1218</v>
      </c>
      <c r="F20">
        <v>1878</v>
      </c>
      <c r="G20">
        <v>183</v>
      </c>
      <c r="H20">
        <v>1217</v>
      </c>
      <c r="I20">
        <v>11</v>
      </c>
      <c r="J20">
        <v>339</v>
      </c>
      <c r="K20">
        <v>54</v>
      </c>
      <c r="L20">
        <v>12</v>
      </c>
      <c r="M20">
        <v>69</v>
      </c>
      <c r="O20">
        <v>5321</v>
      </c>
      <c r="P20">
        <v>41</v>
      </c>
      <c r="Q20">
        <v>10319</v>
      </c>
      <c r="R20">
        <v>6912</v>
      </c>
      <c r="T20" s="5">
        <f t="shared" si="0"/>
        <v>0.26829268292682928</v>
      </c>
      <c r="U20" s="5">
        <f t="shared" si="0"/>
        <v>3.2852020544626416E-2</v>
      </c>
      <c r="V20" s="5">
        <f t="shared" si="1"/>
        <v>0.99917898193760257</v>
      </c>
      <c r="W20" s="5">
        <f t="shared" si="2"/>
        <v>0.6470588235294118</v>
      </c>
      <c r="X20" s="5">
        <f t="shared" si="3"/>
        <v>0.90108108108108109</v>
      </c>
      <c r="Y20" s="5">
        <f t="shared" si="4"/>
        <v>3.7272727272727271</v>
      </c>
      <c r="Z20" s="5">
        <f t="shared" si="5"/>
        <v>0.73170731707317072</v>
      </c>
      <c r="AA20" s="5">
        <f t="shared" si="6"/>
        <v>9.8918918918918922E-2</v>
      </c>
    </row>
    <row r="21" spans="1:27" x14ac:dyDescent="0.2">
      <c r="A21">
        <v>21</v>
      </c>
      <c r="B21">
        <v>1</v>
      </c>
      <c r="C21">
        <v>1956</v>
      </c>
      <c r="D21">
        <v>0</v>
      </c>
      <c r="E21">
        <v>1137</v>
      </c>
      <c r="F21">
        <v>5187</v>
      </c>
      <c r="G21">
        <v>804</v>
      </c>
      <c r="H21">
        <v>1136</v>
      </c>
      <c r="I21">
        <v>12</v>
      </c>
      <c r="J21">
        <v>5966</v>
      </c>
      <c r="K21">
        <v>3840</v>
      </c>
      <c r="L21">
        <v>27</v>
      </c>
      <c r="M21">
        <v>209</v>
      </c>
      <c r="N21" s="3"/>
      <c r="O21">
        <v>5580</v>
      </c>
      <c r="P21">
        <v>46</v>
      </c>
      <c r="Q21">
        <v>9226</v>
      </c>
      <c r="R21">
        <v>3840</v>
      </c>
      <c r="T21" s="5">
        <f t="shared" ref="T21:T28" si="7">I21/P21</f>
        <v>0.2608695652173913</v>
      </c>
      <c r="U21" s="5">
        <f t="shared" ref="U21:U28" si="8">J21/Q21</f>
        <v>0.64665076956427492</v>
      </c>
      <c r="V21" s="5">
        <f t="shared" ref="V21:V28" si="9">H21/E21</f>
        <v>0.99912049252418644</v>
      </c>
      <c r="W21" s="5">
        <f t="shared" ref="W21:W28" si="10">(O21-F21)/O21</f>
        <v>7.0430107526881724E-2</v>
      </c>
      <c r="X21" s="5">
        <f t="shared" ref="X21:X28" si="11">(C21-G21)/C21</f>
        <v>0.58895705521472397</v>
      </c>
      <c r="Y21" s="5">
        <f t="shared" ref="Y21:Y28" si="12">P21/I21</f>
        <v>3.8333333333333335</v>
      </c>
      <c r="Z21" s="5">
        <f t="shared" ref="Z21:Z28" si="13">1-T21</f>
        <v>0.73913043478260865</v>
      </c>
      <c r="AA21" s="5">
        <f t="shared" ref="AA21:AA28" si="14">G21/C21</f>
        <v>0.41104294478527609</v>
      </c>
    </row>
    <row r="22" spans="1:27" x14ac:dyDescent="0.2">
      <c r="A22">
        <v>23</v>
      </c>
      <c r="B22">
        <v>1</v>
      </c>
      <c r="C22">
        <v>1822</v>
      </c>
      <c r="D22">
        <v>0</v>
      </c>
      <c r="E22">
        <v>1248</v>
      </c>
      <c r="F22">
        <v>1139</v>
      </c>
      <c r="G22">
        <v>125</v>
      </c>
      <c r="H22">
        <v>1247</v>
      </c>
      <c r="I22">
        <v>7</v>
      </c>
      <c r="J22">
        <v>45</v>
      </c>
      <c r="K22">
        <v>4</v>
      </c>
      <c r="L22">
        <v>5</v>
      </c>
      <c r="M22">
        <v>83</v>
      </c>
      <c r="O22">
        <v>4817</v>
      </c>
      <c r="P22">
        <v>42</v>
      </c>
      <c r="Q22">
        <v>1039</v>
      </c>
      <c r="R22">
        <v>512</v>
      </c>
      <c r="T22" s="5">
        <f t="shared" si="7"/>
        <v>0.16666666666666666</v>
      </c>
      <c r="U22" s="5">
        <f t="shared" si="8"/>
        <v>4.331087584215592E-2</v>
      </c>
      <c r="V22" s="5">
        <f t="shared" si="9"/>
        <v>0.99919871794871795</v>
      </c>
      <c r="W22" s="5">
        <f t="shared" si="10"/>
        <v>0.76354577537886648</v>
      </c>
      <c r="X22" s="5">
        <f t="shared" si="11"/>
        <v>0.93139407244785954</v>
      </c>
      <c r="Y22" s="5">
        <f t="shared" si="12"/>
        <v>6</v>
      </c>
      <c r="Z22" s="5">
        <f t="shared" si="13"/>
        <v>0.83333333333333337</v>
      </c>
      <c r="AA22" s="5">
        <f t="shared" si="14"/>
        <v>6.8605927552140511E-2</v>
      </c>
    </row>
    <row r="23" spans="1:27" x14ac:dyDescent="0.2">
      <c r="A23">
        <v>24</v>
      </c>
      <c r="B23">
        <v>2</v>
      </c>
      <c r="C23">
        <v>1850</v>
      </c>
      <c r="D23">
        <v>0</v>
      </c>
      <c r="E23">
        <v>1218</v>
      </c>
      <c r="F23">
        <v>1842</v>
      </c>
      <c r="G23">
        <v>183</v>
      </c>
      <c r="H23">
        <v>1216</v>
      </c>
      <c r="I23">
        <v>19</v>
      </c>
      <c r="J23">
        <v>306</v>
      </c>
      <c r="K23">
        <v>69</v>
      </c>
      <c r="L23">
        <v>6</v>
      </c>
      <c r="M23">
        <v>70</v>
      </c>
      <c r="O23">
        <v>5284</v>
      </c>
      <c r="P23">
        <v>44</v>
      </c>
      <c r="Q23">
        <v>165657</v>
      </c>
      <c r="R23">
        <v>103680</v>
      </c>
      <c r="T23" s="5">
        <f t="shared" si="7"/>
        <v>0.43181818181818182</v>
      </c>
      <c r="U23" s="5">
        <f t="shared" si="8"/>
        <v>1.8471902787084156E-3</v>
      </c>
      <c r="V23" s="5">
        <f t="shared" si="9"/>
        <v>0.99835796387520526</v>
      </c>
      <c r="W23" s="5">
        <f t="shared" si="10"/>
        <v>0.65140045420136261</v>
      </c>
      <c r="X23" s="5">
        <f t="shared" si="11"/>
        <v>0.90108108108108109</v>
      </c>
      <c r="Y23" s="5">
        <f t="shared" si="12"/>
        <v>2.3157894736842106</v>
      </c>
      <c r="Z23" s="5">
        <f t="shared" si="13"/>
        <v>0.56818181818181812</v>
      </c>
      <c r="AA23" s="5">
        <f t="shared" si="14"/>
        <v>9.8918918918918922E-2</v>
      </c>
    </row>
    <row r="24" spans="1:27" x14ac:dyDescent="0.2">
      <c r="A24">
        <v>25</v>
      </c>
      <c r="B24">
        <v>2</v>
      </c>
      <c r="C24">
        <v>2472</v>
      </c>
      <c r="D24">
        <v>0</v>
      </c>
      <c r="E24">
        <v>1053</v>
      </c>
      <c r="F24">
        <v>9426</v>
      </c>
      <c r="G24">
        <v>1404</v>
      </c>
      <c r="H24">
        <v>1051</v>
      </c>
      <c r="I24">
        <v>36</v>
      </c>
      <c r="J24">
        <v>285798</v>
      </c>
      <c r="K24">
        <v>80386</v>
      </c>
      <c r="L24">
        <v>9</v>
      </c>
      <c r="M24">
        <v>391</v>
      </c>
      <c r="O24">
        <v>8919</v>
      </c>
      <c r="P24">
        <v>122</v>
      </c>
      <c r="Q24">
        <v>568121</v>
      </c>
      <c r="R24">
        <v>160768</v>
      </c>
      <c r="T24" s="5">
        <f t="shared" si="7"/>
        <v>0.29508196721311475</v>
      </c>
      <c r="U24" s="5">
        <f t="shared" si="8"/>
        <v>0.50305832736336098</v>
      </c>
      <c r="V24" s="5">
        <f t="shared" si="9"/>
        <v>0.99810066476733139</v>
      </c>
      <c r="W24" s="5">
        <f t="shared" si="10"/>
        <v>-5.6844937773292969E-2</v>
      </c>
      <c r="X24" s="5">
        <f t="shared" si="11"/>
        <v>0.43203883495145629</v>
      </c>
      <c r="Y24" s="5">
        <f t="shared" si="12"/>
        <v>3.3888888888888888</v>
      </c>
      <c r="Z24" s="5">
        <f t="shared" si="13"/>
        <v>0.70491803278688525</v>
      </c>
      <c r="AA24" s="5">
        <f t="shared" si="14"/>
        <v>0.56796116504854366</v>
      </c>
    </row>
    <row r="25" spans="1:27" x14ac:dyDescent="0.2">
      <c r="A25">
        <v>26</v>
      </c>
      <c r="B25">
        <v>1</v>
      </c>
      <c r="C25">
        <v>1796</v>
      </c>
      <c r="D25">
        <v>0</v>
      </c>
      <c r="E25">
        <v>1278</v>
      </c>
      <c r="F25">
        <v>66</v>
      </c>
      <c r="G25">
        <v>15</v>
      </c>
      <c r="H25">
        <v>1277</v>
      </c>
      <c r="I25">
        <v>15</v>
      </c>
      <c r="J25">
        <v>69</v>
      </c>
      <c r="K25">
        <v>16</v>
      </c>
      <c r="L25">
        <v>4</v>
      </c>
      <c r="M25">
        <v>46</v>
      </c>
      <c r="O25">
        <v>4288</v>
      </c>
      <c r="P25">
        <v>42</v>
      </c>
      <c r="Q25">
        <v>3042</v>
      </c>
      <c r="R25">
        <v>2048</v>
      </c>
      <c r="T25" s="5">
        <f t="shared" si="7"/>
        <v>0.35714285714285715</v>
      </c>
      <c r="U25" s="5">
        <f t="shared" si="8"/>
        <v>2.2682445759368838E-2</v>
      </c>
      <c r="V25" s="5">
        <f t="shared" si="9"/>
        <v>0.99921752738654146</v>
      </c>
      <c r="W25" s="5">
        <f t="shared" si="10"/>
        <v>0.98460820895522383</v>
      </c>
      <c r="X25" s="5">
        <f t="shared" si="11"/>
        <v>0.99164810690423166</v>
      </c>
      <c r="Y25" s="5">
        <f t="shared" si="12"/>
        <v>2.8</v>
      </c>
      <c r="Z25" s="5">
        <f t="shared" si="13"/>
        <v>0.64285714285714279</v>
      </c>
      <c r="AA25" s="5">
        <f t="shared" si="14"/>
        <v>8.351893095768375E-3</v>
      </c>
    </row>
    <row r="26" spans="1:27" x14ac:dyDescent="0.2">
      <c r="A26">
        <v>27</v>
      </c>
      <c r="B26">
        <v>1</v>
      </c>
      <c r="C26">
        <v>1948</v>
      </c>
      <c r="D26">
        <v>0</v>
      </c>
      <c r="E26">
        <v>1244</v>
      </c>
      <c r="F26">
        <v>2622</v>
      </c>
      <c r="G26">
        <v>285</v>
      </c>
      <c r="H26">
        <v>1243</v>
      </c>
      <c r="I26">
        <v>16</v>
      </c>
      <c r="J26">
        <v>270</v>
      </c>
      <c r="K26">
        <v>26</v>
      </c>
      <c r="L26">
        <v>11</v>
      </c>
      <c r="M26">
        <v>97</v>
      </c>
      <c r="O26">
        <v>5881</v>
      </c>
      <c r="P26">
        <v>56</v>
      </c>
      <c r="Q26">
        <v>6754</v>
      </c>
      <c r="R26">
        <v>3328</v>
      </c>
      <c r="T26" s="5">
        <f t="shared" si="7"/>
        <v>0.2857142857142857</v>
      </c>
      <c r="U26" s="5">
        <f t="shared" si="8"/>
        <v>3.9976310334616523E-2</v>
      </c>
      <c r="V26" s="5">
        <f t="shared" si="9"/>
        <v>0.99919614147909963</v>
      </c>
      <c r="W26" s="5">
        <f t="shared" si="10"/>
        <v>0.5541574562149294</v>
      </c>
      <c r="X26" s="5">
        <f t="shared" si="11"/>
        <v>0.85369609856262829</v>
      </c>
      <c r="Y26" s="5">
        <f t="shared" si="12"/>
        <v>3.5</v>
      </c>
      <c r="Z26" s="5">
        <f t="shared" si="13"/>
        <v>0.7142857142857143</v>
      </c>
      <c r="AA26" s="5">
        <f t="shared" si="14"/>
        <v>0.14630390143737165</v>
      </c>
    </row>
    <row r="27" spans="1:27" x14ac:dyDescent="0.2">
      <c r="A27">
        <v>28</v>
      </c>
      <c r="B27">
        <v>1</v>
      </c>
      <c r="C27">
        <v>1872</v>
      </c>
      <c r="D27">
        <v>0</v>
      </c>
      <c r="E27">
        <v>1214</v>
      </c>
      <c r="F27">
        <v>2534</v>
      </c>
      <c r="G27">
        <v>239</v>
      </c>
      <c r="H27">
        <v>1213</v>
      </c>
      <c r="I27">
        <v>11</v>
      </c>
      <c r="J27">
        <v>1559</v>
      </c>
      <c r="K27">
        <v>960</v>
      </c>
      <c r="L27">
        <v>16</v>
      </c>
      <c r="M27">
        <v>92</v>
      </c>
      <c r="O27">
        <v>5608</v>
      </c>
      <c r="P27">
        <v>61</v>
      </c>
      <c r="Q27">
        <v>225719</v>
      </c>
      <c r="R27">
        <v>122880</v>
      </c>
      <c r="T27" s="5">
        <f t="shared" si="7"/>
        <v>0.18032786885245902</v>
      </c>
      <c r="U27" s="5">
        <f t="shared" si="8"/>
        <v>6.9068177689959641E-3</v>
      </c>
      <c r="V27" s="5">
        <f t="shared" si="9"/>
        <v>0.99917627677100496</v>
      </c>
      <c r="W27" s="5">
        <f t="shared" si="10"/>
        <v>0.54814550641940085</v>
      </c>
      <c r="X27" s="5">
        <f t="shared" si="11"/>
        <v>0.87232905982905984</v>
      </c>
      <c r="Y27" s="5">
        <f t="shared" si="12"/>
        <v>5.5454545454545459</v>
      </c>
      <c r="Z27" s="5">
        <f t="shared" si="13"/>
        <v>0.81967213114754101</v>
      </c>
      <c r="AA27" s="5">
        <f t="shared" si="14"/>
        <v>0.12767094017094016</v>
      </c>
    </row>
    <row r="28" spans="1:27" x14ac:dyDescent="0.2">
      <c r="A28" s="9">
        <v>29</v>
      </c>
      <c r="B28">
        <v>1</v>
      </c>
      <c r="C28">
        <v>1956</v>
      </c>
      <c r="D28">
        <v>0</v>
      </c>
      <c r="E28">
        <v>1137</v>
      </c>
      <c r="F28">
        <v>5174</v>
      </c>
      <c r="G28">
        <v>804</v>
      </c>
      <c r="H28">
        <v>1136</v>
      </c>
      <c r="I28">
        <v>9</v>
      </c>
      <c r="J28">
        <v>1668</v>
      </c>
      <c r="K28">
        <v>1536</v>
      </c>
      <c r="L28">
        <v>3</v>
      </c>
      <c r="M28">
        <v>104</v>
      </c>
      <c r="O28">
        <v>5624</v>
      </c>
      <c r="P28">
        <v>67</v>
      </c>
      <c r="Q28">
        <v>2868</v>
      </c>
      <c r="R28">
        <v>1536</v>
      </c>
      <c r="T28" s="5">
        <f t="shared" si="7"/>
        <v>0.13432835820895522</v>
      </c>
      <c r="U28" s="5">
        <f t="shared" si="8"/>
        <v>0.58158995815899583</v>
      </c>
      <c r="V28" s="5">
        <f t="shared" si="9"/>
        <v>0.99912049252418644</v>
      </c>
      <c r="W28" s="5" t="e">
        <f>(#REF!-F28)/#REF!</f>
        <v>#REF!</v>
      </c>
      <c r="X28" s="5">
        <f t="shared" si="11"/>
        <v>0.58895705521472397</v>
      </c>
      <c r="Y28" s="5">
        <f t="shared" si="12"/>
        <v>7.4444444444444446</v>
      </c>
      <c r="Z28" s="5">
        <f t="shared" si="13"/>
        <v>0.86567164179104483</v>
      </c>
      <c r="AA28" s="5">
        <f t="shared" si="14"/>
        <v>0.41104294478527609</v>
      </c>
    </row>
    <row r="29" spans="1:27" x14ac:dyDescent="0.2">
      <c r="A29" s="3" t="s">
        <v>11</v>
      </c>
      <c r="B29" s="3">
        <v>17</v>
      </c>
      <c r="C29" s="3">
        <v>1796</v>
      </c>
      <c r="D29" s="3">
        <v>0</v>
      </c>
      <c r="E29" s="3">
        <v>1278</v>
      </c>
      <c r="F29" s="3">
        <v>476</v>
      </c>
      <c r="G29" s="3">
        <v>69</v>
      </c>
      <c r="H29" s="3">
        <v>1261</v>
      </c>
      <c r="I29" s="3">
        <v>27</v>
      </c>
      <c r="J29" s="3">
        <v>49</v>
      </c>
      <c r="K29" s="3">
        <v>19</v>
      </c>
      <c r="L29" s="3">
        <v>16</v>
      </c>
      <c r="M29" s="3">
        <v>86</v>
      </c>
    </row>
    <row r="33" spans="1:27" x14ac:dyDescent="0.2">
      <c r="A33" t="s">
        <v>23</v>
      </c>
      <c r="B33" s="5">
        <f t="shared" ref="B33:Y33" si="15">AVERAGE(B2:B28)</f>
        <v>2.0370370370370372</v>
      </c>
      <c r="C33" s="5">
        <f t="shared" si="15"/>
        <v>1905.7037037037037</v>
      </c>
      <c r="D33" s="5">
        <f t="shared" si="15"/>
        <v>0</v>
      </c>
      <c r="E33" s="5">
        <f t="shared" si="15"/>
        <v>1188.4074074074074</v>
      </c>
      <c r="F33" s="5">
        <f t="shared" si="15"/>
        <v>2921.7037037037039</v>
      </c>
      <c r="G33" s="5">
        <f t="shared" si="15"/>
        <v>372.7037037037037</v>
      </c>
      <c r="H33" s="5">
        <f t="shared" si="15"/>
        <v>1107.2592592592594</v>
      </c>
      <c r="I33" s="5">
        <f t="shared" si="15"/>
        <v>18.633333333333333</v>
      </c>
      <c r="J33" s="5">
        <f t="shared" si="15"/>
        <v>11754.444444444445</v>
      </c>
      <c r="K33" s="5">
        <f t="shared" si="15"/>
        <v>3611.8148148148148</v>
      </c>
      <c r="L33" s="5">
        <f t="shared" si="15"/>
        <v>9.481481481481481</v>
      </c>
      <c r="M33" s="5">
        <f t="shared" si="15"/>
        <v>114.22222222222223</v>
      </c>
      <c r="N33" s="5"/>
      <c r="O33" s="5">
        <f>AVERAGE(O2:O28)</f>
        <v>5604.2592592592591</v>
      </c>
      <c r="P33" s="5">
        <f t="shared" si="15"/>
        <v>55.888888888888886</v>
      </c>
      <c r="Q33" s="5">
        <f t="shared" si="15"/>
        <v>159125.29629629629</v>
      </c>
      <c r="R33" s="5">
        <f t="shared" si="15"/>
        <v>63762.962962962964</v>
      </c>
      <c r="S33" s="5"/>
      <c r="T33" s="5">
        <f t="shared" si="15"/>
        <v>0.34469265857904741</v>
      </c>
      <c r="U33" s="5">
        <f t="shared" si="15"/>
        <v>0.17932237526789163</v>
      </c>
      <c r="V33" s="5">
        <f t="shared" si="15"/>
        <v>0.92612899208424182</v>
      </c>
      <c r="W33" s="5" t="e">
        <f t="shared" si="15"/>
        <v>#REF!</v>
      </c>
      <c r="X33" s="5">
        <f t="shared" si="15"/>
        <v>0.81627038983338251</v>
      </c>
      <c r="Y33" s="6">
        <f t="shared" si="15"/>
        <v>16.392776211795073</v>
      </c>
      <c r="Z33" s="5">
        <f>AVERAGE(Z2:Z28)</f>
        <v>0.65530734142095293</v>
      </c>
      <c r="AA33" s="5">
        <f>AVERAGE(AA2:AA28)</f>
        <v>0.18372961016661746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opLeftCell="A6" workbookViewId="0">
      <selection activeCell="J31" sqref="J31"/>
    </sheetView>
  </sheetViews>
  <sheetFormatPr baseColWidth="10" defaultRowHeight="16" x14ac:dyDescent="0.2"/>
  <cols>
    <col min="4" max="4" width="10.5" bestFit="1" customWidth="1"/>
    <col min="11" max="11" width="8.83203125" bestFit="1" customWidth="1"/>
    <col min="14" max="14" width="3.5" style="2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7</v>
      </c>
      <c r="M1" s="1" t="s">
        <v>8</v>
      </c>
      <c r="O1" s="1" t="s">
        <v>10</v>
      </c>
      <c r="P1" s="1" t="s">
        <v>5</v>
      </c>
      <c r="Q1" s="1" t="s">
        <v>6</v>
      </c>
      <c r="R1" s="1" t="s">
        <v>9</v>
      </c>
      <c r="T1" s="1"/>
      <c r="U1" s="1"/>
      <c r="V1" s="1"/>
      <c r="W1" s="1"/>
      <c r="X1" s="1"/>
      <c r="Y1" s="1"/>
      <c r="Z1" s="1"/>
      <c r="AA1" s="1"/>
    </row>
    <row r="2" spans="1:27" x14ac:dyDescent="0.2">
      <c r="A2">
        <v>0</v>
      </c>
      <c r="B2">
        <v>1</v>
      </c>
      <c r="C2">
        <v>1850</v>
      </c>
      <c r="D2">
        <v>0</v>
      </c>
      <c r="E2">
        <v>1218</v>
      </c>
      <c r="F2">
        <v>1829</v>
      </c>
      <c r="G2">
        <v>183</v>
      </c>
      <c r="H2">
        <v>1217</v>
      </c>
      <c r="I2">
        <v>28</v>
      </c>
      <c r="J2">
        <v>135</v>
      </c>
      <c r="K2">
        <v>8</v>
      </c>
      <c r="L2">
        <v>14</v>
      </c>
      <c r="M2">
        <v>62</v>
      </c>
      <c r="O2">
        <v>5289</v>
      </c>
      <c r="P2">
        <v>39</v>
      </c>
      <c r="Q2">
        <v>2535</v>
      </c>
      <c r="R2">
        <v>1024</v>
      </c>
    </row>
    <row r="3" spans="1:27" x14ac:dyDescent="0.2">
      <c r="A3">
        <v>1</v>
      </c>
      <c r="B3">
        <v>13</v>
      </c>
      <c r="C3">
        <v>1714</v>
      </c>
      <c r="D3">
        <v>0</v>
      </c>
      <c r="E3">
        <v>1139</v>
      </c>
      <c r="F3">
        <v>1689</v>
      </c>
      <c r="G3">
        <v>170</v>
      </c>
      <c r="H3">
        <v>18</v>
      </c>
      <c r="I3">
        <v>37</v>
      </c>
      <c r="J3">
        <v>444</v>
      </c>
      <c r="K3">
        <v>165</v>
      </c>
      <c r="L3">
        <v>6</v>
      </c>
      <c r="M3">
        <v>50</v>
      </c>
      <c r="O3">
        <v>4867</v>
      </c>
      <c r="P3">
        <v>39</v>
      </c>
      <c r="Q3">
        <v>13693</v>
      </c>
      <c r="R3">
        <v>9600</v>
      </c>
    </row>
    <row r="4" spans="1:27" x14ac:dyDescent="0.2">
      <c r="A4">
        <v>2</v>
      </c>
      <c r="B4">
        <v>14</v>
      </c>
      <c r="C4">
        <v>1637</v>
      </c>
      <c r="D4">
        <v>0</v>
      </c>
      <c r="E4">
        <v>1128</v>
      </c>
      <c r="F4">
        <v>445</v>
      </c>
      <c r="G4">
        <v>65</v>
      </c>
      <c r="H4">
        <v>18</v>
      </c>
      <c r="I4">
        <v>27</v>
      </c>
      <c r="J4">
        <v>99</v>
      </c>
      <c r="K4">
        <v>27</v>
      </c>
      <c r="L4">
        <v>3</v>
      </c>
      <c r="M4">
        <v>32</v>
      </c>
      <c r="O4" s="4">
        <v>3885</v>
      </c>
      <c r="P4" s="4"/>
      <c r="Q4" s="4"/>
      <c r="R4" s="4"/>
    </row>
    <row r="5" spans="1:27" x14ac:dyDescent="0.2">
      <c r="A5">
        <v>3</v>
      </c>
      <c r="B5">
        <v>1</v>
      </c>
      <c r="C5">
        <v>1880</v>
      </c>
      <c r="D5">
        <v>0</v>
      </c>
      <c r="E5">
        <v>1188</v>
      </c>
      <c r="F5">
        <v>2554</v>
      </c>
      <c r="G5">
        <v>243</v>
      </c>
      <c r="H5">
        <v>1187</v>
      </c>
      <c r="I5">
        <v>14</v>
      </c>
      <c r="J5">
        <v>1728</v>
      </c>
      <c r="K5">
        <v>1632</v>
      </c>
      <c r="L5">
        <v>8</v>
      </c>
      <c r="M5">
        <v>100</v>
      </c>
      <c r="O5">
        <v>5789</v>
      </c>
      <c r="P5">
        <v>56</v>
      </c>
      <c r="Q5">
        <v>399254</v>
      </c>
      <c r="R5">
        <v>208896</v>
      </c>
    </row>
    <row r="6" spans="1:27" x14ac:dyDescent="0.2">
      <c r="A6">
        <v>4</v>
      </c>
      <c r="B6">
        <v>1</v>
      </c>
      <c r="C6">
        <v>1886</v>
      </c>
      <c r="D6">
        <v>0</v>
      </c>
      <c r="E6">
        <v>1274</v>
      </c>
      <c r="F6">
        <v>1626</v>
      </c>
      <c r="G6">
        <v>193</v>
      </c>
      <c r="H6">
        <v>1273</v>
      </c>
      <c r="I6">
        <v>8</v>
      </c>
      <c r="J6">
        <v>163</v>
      </c>
      <c r="K6">
        <v>22</v>
      </c>
      <c r="L6">
        <v>10</v>
      </c>
      <c r="M6">
        <v>80</v>
      </c>
      <c r="O6">
        <v>5134</v>
      </c>
      <c r="P6">
        <v>43</v>
      </c>
      <c r="Q6">
        <v>4401</v>
      </c>
      <c r="R6">
        <v>2816</v>
      </c>
    </row>
    <row r="7" spans="1:27" x14ac:dyDescent="0.2">
      <c r="A7">
        <v>5</v>
      </c>
      <c r="B7">
        <v>2</v>
      </c>
      <c r="C7">
        <v>2276</v>
      </c>
      <c r="D7">
        <v>0</v>
      </c>
      <c r="E7">
        <v>1081</v>
      </c>
      <c r="F7">
        <v>7715</v>
      </c>
      <c r="G7">
        <v>1180</v>
      </c>
      <c r="H7">
        <v>1079</v>
      </c>
      <c r="I7">
        <v>31</v>
      </c>
      <c r="J7">
        <v>6108</v>
      </c>
      <c r="K7">
        <v>2050</v>
      </c>
      <c r="L7">
        <v>12</v>
      </c>
      <c r="M7">
        <v>294</v>
      </c>
      <c r="O7">
        <v>7559</v>
      </c>
      <c r="P7">
        <v>103</v>
      </c>
      <c r="Q7">
        <v>8788</v>
      </c>
      <c r="R7">
        <v>4096</v>
      </c>
    </row>
    <row r="8" spans="1:27" x14ac:dyDescent="0.2">
      <c r="A8">
        <v>6</v>
      </c>
      <c r="B8">
        <v>1</v>
      </c>
      <c r="C8">
        <v>1985</v>
      </c>
      <c r="D8">
        <v>0</v>
      </c>
      <c r="E8">
        <v>1031</v>
      </c>
      <c r="F8">
        <v>6555</v>
      </c>
      <c r="G8">
        <v>939</v>
      </c>
      <c r="H8">
        <v>1030</v>
      </c>
      <c r="I8">
        <v>25</v>
      </c>
      <c r="J8">
        <v>768</v>
      </c>
      <c r="K8">
        <v>256</v>
      </c>
      <c r="L8">
        <v>8</v>
      </c>
      <c r="M8">
        <v>191</v>
      </c>
      <c r="O8">
        <v>6598</v>
      </c>
      <c r="P8">
        <v>87</v>
      </c>
      <c r="Q8">
        <v>910</v>
      </c>
      <c r="R8">
        <v>256</v>
      </c>
    </row>
    <row r="9" spans="1:27" x14ac:dyDescent="0.2">
      <c r="A9">
        <v>7</v>
      </c>
      <c r="B9">
        <v>2</v>
      </c>
      <c r="C9">
        <v>1872</v>
      </c>
      <c r="D9">
        <v>0</v>
      </c>
      <c r="E9">
        <v>1214</v>
      </c>
      <c r="F9">
        <v>2488</v>
      </c>
      <c r="G9">
        <v>239</v>
      </c>
      <c r="H9">
        <v>1212</v>
      </c>
      <c r="I9">
        <v>13</v>
      </c>
      <c r="J9">
        <v>763</v>
      </c>
      <c r="K9">
        <v>396</v>
      </c>
      <c r="L9">
        <v>6</v>
      </c>
      <c r="M9">
        <v>96</v>
      </c>
      <c r="O9">
        <v>5568</v>
      </c>
      <c r="P9">
        <v>54</v>
      </c>
      <c r="Q9">
        <v>1979207</v>
      </c>
      <c r="R9">
        <v>778240</v>
      </c>
    </row>
    <row r="10" spans="1:27" x14ac:dyDescent="0.2">
      <c r="A10">
        <v>8</v>
      </c>
      <c r="B10">
        <v>1</v>
      </c>
      <c r="C10">
        <v>1822</v>
      </c>
      <c r="D10">
        <v>0</v>
      </c>
      <c r="E10">
        <v>1248</v>
      </c>
      <c r="F10">
        <v>1148</v>
      </c>
      <c r="G10">
        <v>125</v>
      </c>
      <c r="H10">
        <v>1247</v>
      </c>
      <c r="I10">
        <v>10</v>
      </c>
      <c r="J10">
        <v>172</v>
      </c>
      <c r="K10">
        <v>24</v>
      </c>
      <c r="L10">
        <v>5</v>
      </c>
      <c r="M10">
        <v>56</v>
      </c>
      <c r="O10">
        <v>4822</v>
      </c>
      <c r="P10">
        <v>30</v>
      </c>
      <c r="Q10">
        <v>4643</v>
      </c>
      <c r="R10">
        <v>3072</v>
      </c>
    </row>
    <row r="11" spans="1:27" x14ac:dyDescent="0.2">
      <c r="A11">
        <v>9</v>
      </c>
      <c r="B11">
        <v>1</v>
      </c>
      <c r="C11">
        <v>1822</v>
      </c>
      <c r="D11">
        <v>0</v>
      </c>
      <c r="E11">
        <v>1248</v>
      </c>
      <c r="F11">
        <v>1151</v>
      </c>
      <c r="G11">
        <v>125</v>
      </c>
      <c r="H11">
        <v>1247</v>
      </c>
      <c r="I11">
        <v>15</v>
      </c>
      <c r="J11">
        <v>50</v>
      </c>
      <c r="K11">
        <v>4</v>
      </c>
      <c r="L11">
        <v>19</v>
      </c>
      <c r="M11">
        <v>62</v>
      </c>
      <c r="O11">
        <v>4824</v>
      </c>
      <c r="P11">
        <v>31</v>
      </c>
      <c r="Q11">
        <v>981</v>
      </c>
      <c r="R11">
        <v>512</v>
      </c>
    </row>
    <row r="12" spans="1:27" x14ac:dyDescent="0.2">
      <c r="A12">
        <v>10</v>
      </c>
      <c r="B12">
        <v>2</v>
      </c>
      <c r="C12">
        <v>1796</v>
      </c>
      <c r="D12">
        <v>0</v>
      </c>
      <c r="E12">
        <v>1238</v>
      </c>
      <c r="F12">
        <v>474</v>
      </c>
      <c r="G12">
        <v>69</v>
      </c>
      <c r="H12">
        <v>1236</v>
      </c>
      <c r="I12">
        <v>17</v>
      </c>
      <c r="J12">
        <v>49</v>
      </c>
      <c r="K12">
        <v>12</v>
      </c>
      <c r="L12">
        <v>5</v>
      </c>
      <c r="M12">
        <v>46</v>
      </c>
      <c r="O12" s="4">
        <v>4259</v>
      </c>
      <c r="P12" s="4"/>
      <c r="Q12" s="4"/>
      <c r="R12" s="4"/>
    </row>
    <row r="13" spans="1:27" x14ac:dyDescent="0.2">
      <c r="A13">
        <v>11</v>
      </c>
      <c r="B13">
        <v>1</v>
      </c>
      <c r="C13">
        <v>1886</v>
      </c>
      <c r="D13">
        <v>0</v>
      </c>
      <c r="E13">
        <v>1274</v>
      </c>
      <c r="F13">
        <v>1629</v>
      </c>
      <c r="G13">
        <v>193</v>
      </c>
      <c r="H13">
        <v>1273</v>
      </c>
      <c r="I13">
        <v>12</v>
      </c>
      <c r="J13">
        <v>49</v>
      </c>
      <c r="K13">
        <v>2</v>
      </c>
      <c r="L13">
        <v>20</v>
      </c>
      <c r="M13">
        <v>171</v>
      </c>
      <c r="O13">
        <v>5136</v>
      </c>
      <c r="P13">
        <v>47</v>
      </c>
      <c r="Q13">
        <v>642</v>
      </c>
      <c r="R13">
        <v>256</v>
      </c>
    </row>
    <row r="14" spans="1:27" x14ac:dyDescent="0.2">
      <c r="A14">
        <v>12</v>
      </c>
      <c r="B14">
        <v>1</v>
      </c>
      <c r="C14">
        <v>1822</v>
      </c>
      <c r="D14">
        <v>0</v>
      </c>
      <c r="E14">
        <v>1248</v>
      </c>
      <c r="F14">
        <v>1175</v>
      </c>
      <c r="G14">
        <v>125</v>
      </c>
      <c r="H14">
        <v>1247</v>
      </c>
      <c r="I14">
        <v>19</v>
      </c>
      <c r="J14">
        <v>164</v>
      </c>
      <c r="K14">
        <v>24</v>
      </c>
      <c r="L14">
        <v>8</v>
      </c>
      <c r="M14">
        <v>74</v>
      </c>
      <c r="O14">
        <v>4838</v>
      </c>
      <c r="P14">
        <v>35</v>
      </c>
      <c r="Q14">
        <v>4950</v>
      </c>
      <c r="R14">
        <v>3072</v>
      </c>
    </row>
    <row r="15" spans="1:27" x14ac:dyDescent="0.2">
      <c r="A15">
        <v>13</v>
      </c>
      <c r="B15">
        <v>1</v>
      </c>
      <c r="C15">
        <v>1796</v>
      </c>
      <c r="D15">
        <v>0</v>
      </c>
      <c r="E15">
        <v>1278</v>
      </c>
      <c r="F15">
        <v>4</v>
      </c>
      <c r="G15">
        <v>2</v>
      </c>
      <c r="H15">
        <v>1277</v>
      </c>
      <c r="I15">
        <v>0</v>
      </c>
      <c r="J15">
        <v>7</v>
      </c>
      <c r="K15">
        <v>2</v>
      </c>
      <c r="L15">
        <v>5</v>
      </c>
      <c r="M15">
        <v>58</v>
      </c>
      <c r="O15">
        <v>4300</v>
      </c>
      <c r="P15">
        <v>35</v>
      </c>
      <c r="Q15">
        <v>1286</v>
      </c>
      <c r="R15">
        <v>512</v>
      </c>
    </row>
    <row r="16" spans="1:27" x14ac:dyDescent="0.2">
      <c r="A16">
        <v>14</v>
      </c>
      <c r="B16">
        <v>1</v>
      </c>
      <c r="C16">
        <v>1880</v>
      </c>
      <c r="D16">
        <v>0</v>
      </c>
      <c r="E16">
        <v>1188</v>
      </c>
      <c r="F16">
        <v>2587</v>
      </c>
      <c r="G16">
        <v>243</v>
      </c>
      <c r="H16">
        <v>1187</v>
      </c>
      <c r="I16">
        <v>15</v>
      </c>
      <c r="J16">
        <v>233</v>
      </c>
      <c r="K16">
        <v>16</v>
      </c>
      <c r="L16">
        <v>10</v>
      </c>
      <c r="M16">
        <v>104</v>
      </c>
      <c r="O16">
        <v>5809</v>
      </c>
      <c r="P16">
        <v>43</v>
      </c>
      <c r="Q16">
        <v>5198</v>
      </c>
      <c r="R16">
        <v>2048</v>
      </c>
    </row>
    <row r="17" spans="1:18" x14ac:dyDescent="0.2">
      <c r="A17">
        <v>15</v>
      </c>
      <c r="B17">
        <v>1</v>
      </c>
      <c r="C17">
        <v>1822</v>
      </c>
      <c r="D17">
        <v>0</v>
      </c>
      <c r="E17">
        <v>1248</v>
      </c>
      <c r="F17">
        <v>1139</v>
      </c>
      <c r="G17">
        <v>125</v>
      </c>
      <c r="H17">
        <v>1247</v>
      </c>
      <c r="I17">
        <v>8</v>
      </c>
      <c r="J17">
        <v>50</v>
      </c>
      <c r="K17">
        <v>4</v>
      </c>
      <c r="L17">
        <v>7</v>
      </c>
      <c r="M17">
        <v>56</v>
      </c>
      <c r="O17">
        <v>4817</v>
      </c>
      <c r="P17">
        <v>43</v>
      </c>
      <c r="Q17">
        <v>1044</v>
      </c>
      <c r="R17">
        <v>512</v>
      </c>
    </row>
    <row r="18" spans="1:18" x14ac:dyDescent="0.2">
      <c r="A18">
        <v>16</v>
      </c>
      <c r="B18">
        <v>1</v>
      </c>
      <c r="C18">
        <v>2154</v>
      </c>
      <c r="D18">
        <v>0</v>
      </c>
      <c r="E18">
        <v>1005</v>
      </c>
      <c r="F18">
        <v>7846</v>
      </c>
      <c r="G18">
        <v>1134</v>
      </c>
      <c r="H18">
        <v>1004</v>
      </c>
      <c r="I18">
        <v>44</v>
      </c>
      <c r="J18">
        <v>7001</v>
      </c>
      <c r="K18">
        <v>3584</v>
      </c>
      <c r="L18">
        <v>7</v>
      </c>
      <c r="M18">
        <v>241</v>
      </c>
      <c r="O18">
        <v>7669</v>
      </c>
      <c r="P18">
        <v>100</v>
      </c>
      <c r="Q18">
        <v>7665</v>
      </c>
      <c r="R18">
        <v>3584</v>
      </c>
    </row>
    <row r="19" spans="1:18" x14ac:dyDescent="0.2">
      <c r="A19">
        <v>17</v>
      </c>
      <c r="B19">
        <v>13</v>
      </c>
      <c r="C19">
        <v>1722</v>
      </c>
      <c r="D19">
        <v>0</v>
      </c>
      <c r="E19">
        <v>1056</v>
      </c>
      <c r="F19">
        <v>3025</v>
      </c>
      <c r="G19">
        <v>329</v>
      </c>
      <c r="H19">
        <v>15</v>
      </c>
      <c r="I19">
        <v>53</v>
      </c>
      <c r="J19">
        <v>495</v>
      </c>
      <c r="K19">
        <v>147</v>
      </c>
      <c r="L19">
        <v>8</v>
      </c>
      <c r="M19">
        <v>74</v>
      </c>
      <c r="O19">
        <v>5572</v>
      </c>
      <c r="P19">
        <v>56</v>
      </c>
      <c r="Q19">
        <v>9330</v>
      </c>
      <c r="R19">
        <v>4224</v>
      </c>
    </row>
    <row r="20" spans="1:18" s="7" customFormat="1" x14ac:dyDescent="0.2">
      <c r="A20" s="7">
        <v>18</v>
      </c>
      <c r="B20" s="7">
        <v>1</v>
      </c>
      <c r="C20" s="7">
        <v>1936</v>
      </c>
      <c r="D20" s="7">
        <v>0</v>
      </c>
      <c r="E20" s="7">
        <v>1154</v>
      </c>
      <c r="F20" s="7">
        <v>4076</v>
      </c>
      <c r="G20" s="7">
        <v>363</v>
      </c>
      <c r="H20" s="7">
        <v>1153</v>
      </c>
      <c r="I20" s="7">
        <v>79</v>
      </c>
      <c r="J20" s="7">
        <v>5719</v>
      </c>
      <c r="K20" s="7">
        <v>2268</v>
      </c>
      <c r="L20" s="7">
        <v>9</v>
      </c>
      <c r="M20" s="7">
        <v>166</v>
      </c>
      <c r="N20" s="8"/>
      <c r="O20" s="7">
        <v>6672</v>
      </c>
      <c r="P20" s="7">
        <v>71</v>
      </c>
      <c r="Q20" s="7">
        <v>573268</v>
      </c>
      <c r="R20" s="7">
        <v>290304</v>
      </c>
    </row>
    <row r="21" spans="1:18" x14ac:dyDescent="0.2">
      <c r="A21">
        <v>19</v>
      </c>
      <c r="B21">
        <v>1</v>
      </c>
      <c r="C21">
        <v>1807</v>
      </c>
      <c r="D21">
        <v>0</v>
      </c>
      <c r="E21">
        <v>1248</v>
      </c>
      <c r="F21">
        <v>1022</v>
      </c>
      <c r="G21">
        <v>110</v>
      </c>
      <c r="H21">
        <v>1247</v>
      </c>
      <c r="I21">
        <v>8</v>
      </c>
      <c r="J21">
        <v>154</v>
      </c>
      <c r="K21">
        <v>24</v>
      </c>
      <c r="L21">
        <v>7</v>
      </c>
      <c r="M21">
        <v>63</v>
      </c>
      <c r="O21">
        <v>4730</v>
      </c>
      <c r="P21">
        <v>39</v>
      </c>
      <c r="Q21">
        <v>4969</v>
      </c>
      <c r="R21">
        <v>3072</v>
      </c>
    </row>
    <row r="22" spans="1:18" x14ac:dyDescent="0.2">
      <c r="A22">
        <v>20</v>
      </c>
      <c r="B22">
        <v>1</v>
      </c>
      <c r="C22">
        <v>1850</v>
      </c>
      <c r="D22">
        <v>0</v>
      </c>
      <c r="E22">
        <v>1218</v>
      </c>
      <c r="F22">
        <v>1878</v>
      </c>
      <c r="G22">
        <v>183</v>
      </c>
      <c r="H22">
        <v>1217</v>
      </c>
      <c r="I22">
        <v>11</v>
      </c>
      <c r="J22">
        <v>339</v>
      </c>
      <c r="K22">
        <v>54</v>
      </c>
      <c r="L22">
        <v>12</v>
      </c>
      <c r="M22">
        <v>69</v>
      </c>
      <c r="O22">
        <v>5321</v>
      </c>
      <c r="P22">
        <v>41</v>
      </c>
      <c r="Q22">
        <v>10319</v>
      </c>
      <c r="R22">
        <v>6912</v>
      </c>
    </row>
    <row r="23" spans="1:18" x14ac:dyDescent="0.2">
      <c r="A23">
        <v>21</v>
      </c>
      <c r="B23">
        <v>1</v>
      </c>
      <c r="C23">
        <v>1956</v>
      </c>
      <c r="D23">
        <v>0</v>
      </c>
      <c r="E23">
        <v>1137</v>
      </c>
      <c r="F23">
        <v>5187</v>
      </c>
      <c r="G23">
        <v>804</v>
      </c>
      <c r="H23">
        <v>1136</v>
      </c>
      <c r="I23">
        <v>12</v>
      </c>
      <c r="J23">
        <v>5966</v>
      </c>
      <c r="K23">
        <v>3840</v>
      </c>
      <c r="L23">
        <v>27</v>
      </c>
      <c r="M23">
        <v>209</v>
      </c>
      <c r="N23" s="3"/>
      <c r="O23">
        <v>5580</v>
      </c>
      <c r="P23">
        <v>46</v>
      </c>
      <c r="Q23">
        <v>9226</v>
      </c>
      <c r="R23">
        <v>3840</v>
      </c>
    </row>
    <row r="24" spans="1:18" x14ac:dyDescent="0.2">
      <c r="A24">
        <v>22</v>
      </c>
      <c r="B24">
        <v>3</v>
      </c>
      <c r="C24">
        <v>1816</v>
      </c>
      <c r="D24">
        <v>0</v>
      </c>
      <c r="E24">
        <v>1235</v>
      </c>
      <c r="F24">
        <v>1088</v>
      </c>
      <c r="G24">
        <v>123</v>
      </c>
      <c r="H24">
        <v>1232</v>
      </c>
      <c r="I24">
        <v>9</v>
      </c>
      <c r="J24">
        <v>588</v>
      </c>
      <c r="K24">
        <v>328</v>
      </c>
      <c r="L24">
        <v>5</v>
      </c>
      <c r="M24">
        <v>98</v>
      </c>
      <c r="O24" s="4">
        <v>4574</v>
      </c>
      <c r="P24" s="4"/>
      <c r="Q24" s="4"/>
      <c r="R24" s="4"/>
    </row>
    <row r="25" spans="1:18" x14ac:dyDescent="0.2">
      <c r="A25">
        <v>23</v>
      </c>
      <c r="B25">
        <v>1</v>
      </c>
      <c r="C25">
        <v>1822</v>
      </c>
      <c r="D25">
        <v>0</v>
      </c>
      <c r="E25">
        <v>1248</v>
      </c>
      <c r="F25">
        <v>1139</v>
      </c>
      <c r="G25">
        <v>125</v>
      </c>
      <c r="H25">
        <v>1247</v>
      </c>
      <c r="I25">
        <v>7</v>
      </c>
      <c r="J25">
        <v>45</v>
      </c>
      <c r="K25">
        <v>4</v>
      </c>
      <c r="L25">
        <v>5</v>
      </c>
      <c r="M25">
        <v>83</v>
      </c>
      <c r="O25">
        <v>4817</v>
      </c>
      <c r="P25">
        <v>42</v>
      </c>
      <c r="Q25">
        <v>1039</v>
      </c>
      <c r="R25">
        <v>512</v>
      </c>
    </row>
    <row r="26" spans="1:18" x14ac:dyDescent="0.2">
      <c r="A26">
        <v>24</v>
      </c>
      <c r="B26">
        <v>2</v>
      </c>
      <c r="C26">
        <v>1850</v>
      </c>
      <c r="D26">
        <v>0</v>
      </c>
      <c r="E26">
        <v>1218</v>
      </c>
      <c r="F26">
        <v>1842</v>
      </c>
      <c r="G26">
        <v>183</v>
      </c>
      <c r="H26">
        <v>1216</v>
      </c>
      <c r="I26">
        <v>19</v>
      </c>
      <c r="J26">
        <v>306</v>
      </c>
      <c r="K26">
        <v>69</v>
      </c>
      <c r="L26">
        <v>6</v>
      </c>
      <c r="M26">
        <v>70</v>
      </c>
      <c r="O26">
        <v>5284</v>
      </c>
      <c r="P26">
        <v>44</v>
      </c>
      <c r="Q26">
        <v>165657</v>
      </c>
      <c r="R26">
        <v>103680</v>
      </c>
    </row>
    <row r="27" spans="1:18" x14ac:dyDescent="0.2">
      <c r="A27">
        <v>25</v>
      </c>
      <c r="B27">
        <v>2</v>
      </c>
      <c r="C27">
        <v>2472</v>
      </c>
      <c r="D27">
        <v>0</v>
      </c>
      <c r="E27">
        <v>1053</v>
      </c>
      <c r="F27">
        <v>9426</v>
      </c>
      <c r="G27">
        <v>1404</v>
      </c>
      <c r="H27">
        <v>1051</v>
      </c>
      <c r="I27">
        <v>36</v>
      </c>
      <c r="J27">
        <v>285798</v>
      </c>
      <c r="K27">
        <v>80386</v>
      </c>
      <c r="L27">
        <v>9</v>
      </c>
      <c r="M27">
        <v>391</v>
      </c>
      <c r="O27">
        <v>8919</v>
      </c>
      <c r="P27">
        <v>122</v>
      </c>
      <c r="Q27">
        <v>568121</v>
      </c>
      <c r="R27">
        <v>160768</v>
      </c>
    </row>
    <row r="28" spans="1:18" x14ac:dyDescent="0.2">
      <c r="A28">
        <v>26</v>
      </c>
      <c r="B28">
        <v>1</v>
      </c>
      <c r="C28">
        <v>1796</v>
      </c>
      <c r="D28">
        <v>0</v>
      </c>
      <c r="E28">
        <v>1278</v>
      </c>
      <c r="F28">
        <v>66</v>
      </c>
      <c r="G28">
        <v>15</v>
      </c>
      <c r="H28">
        <v>1277</v>
      </c>
      <c r="I28">
        <v>15</v>
      </c>
      <c r="J28">
        <v>69</v>
      </c>
      <c r="K28">
        <v>16</v>
      </c>
      <c r="L28">
        <v>4</v>
      </c>
      <c r="M28">
        <v>46</v>
      </c>
      <c r="O28">
        <v>4288</v>
      </c>
      <c r="P28">
        <v>42</v>
      </c>
      <c r="Q28">
        <v>3042</v>
      </c>
      <c r="R28">
        <v>2048</v>
      </c>
    </row>
    <row r="29" spans="1:18" x14ac:dyDescent="0.2">
      <c r="A29">
        <v>27</v>
      </c>
      <c r="B29">
        <v>1</v>
      </c>
      <c r="C29">
        <v>1948</v>
      </c>
      <c r="D29">
        <v>0</v>
      </c>
      <c r="E29">
        <v>1244</v>
      </c>
      <c r="F29">
        <v>2622</v>
      </c>
      <c r="G29">
        <v>285</v>
      </c>
      <c r="H29">
        <v>1243</v>
      </c>
      <c r="I29">
        <v>16</v>
      </c>
      <c r="J29">
        <v>270</v>
      </c>
      <c r="K29">
        <v>26</v>
      </c>
      <c r="L29">
        <v>11</v>
      </c>
      <c r="M29">
        <v>97</v>
      </c>
      <c r="O29">
        <v>5881</v>
      </c>
      <c r="P29">
        <v>56</v>
      </c>
      <c r="Q29">
        <v>6754</v>
      </c>
      <c r="R29">
        <v>3328</v>
      </c>
    </row>
    <row r="30" spans="1:18" x14ac:dyDescent="0.2">
      <c r="A30">
        <v>28</v>
      </c>
      <c r="B30">
        <v>1</v>
      </c>
      <c r="C30">
        <v>1872</v>
      </c>
      <c r="D30">
        <v>0</v>
      </c>
      <c r="E30">
        <v>1214</v>
      </c>
      <c r="F30">
        <v>2534</v>
      </c>
      <c r="G30">
        <v>239</v>
      </c>
      <c r="H30">
        <v>1213</v>
      </c>
      <c r="I30">
        <v>11</v>
      </c>
      <c r="J30">
        <v>1559</v>
      </c>
      <c r="K30">
        <v>960</v>
      </c>
      <c r="L30">
        <v>16</v>
      </c>
      <c r="M30">
        <v>92</v>
      </c>
      <c r="O30">
        <v>5608</v>
      </c>
      <c r="P30">
        <v>61</v>
      </c>
      <c r="Q30">
        <v>225719</v>
      </c>
      <c r="R30">
        <v>122880</v>
      </c>
    </row>
    <row r="31" spans="1:18" s="7" customFormat="1" x14ac:dyDescent="0.2">
      <c r="A31" s="7">
        <v>29</v>
      </c>
      <c r="B31" s="7">
        <v>1</v>
      </c>
      <c r="C31" s="7">
        <v>1956</v>
      </c>
      <c r="D31" s="7">
        <v>0</v>
      </c>
      <c r="E31" s="7">
        <v>1137</v>
      </c>
      <c r="F31" s="7">
        <v>5230</v>
      </c>
      <c r="G31" s="7">
        <v>804</v>
      </c>
      <c r="H31" s="7">
        <v>1136</v>
      </c>
      <c r="I31" s="7">
        <v>63</v>
      </c>
      <c r="J31" s="7">
        <v>3569</v>
      </c>
      <c r="K31" s="7">
        <v>1536</v>
      </c>
      <c r="L31" s="7">
        <v>6</v>
      </c>
      <c r="M31" s="7">
        <v>167</v>
      </c>
      <c r="N31" s="8"/>
      <c r="O31" s="7">
        <v>5624</v>
      </c>
      <c r="P31" s="7">
        <v>39</v>
      </c>
      <c r="Q31" s="7">
        <v>2741</v>
      </c>
      <c r="R31" s="7">
        <v>1536</v>
      </c>
    </row>
    <row r="32" spans="1:18" x14ac:dyDescent="0.2">
      <c r="A32" t="s">
        <v>11</v>
      </c>
      <c r="B32">
        <v>17</v>
      </c>
      <c r="C32">
        <v>1796</v>
      </c>
      <c r="D32">
        <v>0</v>
      </c>
      <c r="E32">
        <v>1278</v>
      </c>
      <c r="F32">
        <v>476</v>
      </c>
      <c r="G32">
        <v>69</v>
      </c>
      <c r="H32">
        <v>1261</v>
      </c>
      <c r="I32">
        <v>27</v>
      </c>
      <c r="J32">
        <v>49</v>
      </c>
      <c r="K32">
        <v>19</v>
      </c>
      <c r="L32">
        <v>16</v>
      </c>
      <c r="M32">
        <v>86</v>
      </c>
    </row>
  </sheetData>
  <sortState ref="A2:M32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ecom_paired_res (3)</vt:lpstr>
      <vt:lpstr>ecom_paired_res (2)</vt:lpstr>
      <vt:lpstr>ecom_paired_res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2017-05-06T00:54:51Z</dcterms:created>
  <dcterms:modified xsi:type="dcterms:W3CDTF">2017-05-08T01:02:20Z</dcterms:modified>
</cp:coreProperties>
</file>