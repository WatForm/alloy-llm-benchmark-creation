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0" yWindow="460" windowWidth="23360" windowHeight="14460" tabRatio="500"/>
  </bookViews>
  <sheets>
    <sheet name="csos_paired_res (2)" sheetId="2" r:id="rId1"/>
    <sheet name="Sheet2" sheetId="3" r:id="rId2"/>
    <sheet name="csos_paired_res" sheetId="1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7" i="2"/>
  <c r="T2" i="2"/>
  <c r="Z2" i="2"/>
  <c r="T3" i="2"/>
  <c r="Z3" i="2"/>
  <c r="T4" i="2"/>
  <c r="Z4" i="2"/>
  <c r="T5" i="2"/>
  <c r="Z5" i="2"/>
  <c r="T6" i="2"/>
  <c r="Z6" i="2"/>
  <c r="T7" i="2"/>
  <c r="Z7" i="2"/>
  <c r="T8" i="2"/>
  <c r="Z8" i="2"/>
  <c r="Z9" i="2"/>
  <c r="T10" i="2"/>
  <c r="Z10" i="2"/>
  <c r="T11" i="2"/>
  <c r="Z11" i="2"/>
  <c r="T12" i="2"/>
  <c r="Z12" i="2"/>
  <c r="T13" i="2"/>
  <c r="Z13" i="2"/>
  <c r="T14" i="2"/>
  <c r="Z14" i="2"/>
  <c r="T15" i="2"/>
  <c r="Z15" i="2"/>
  <c r="T16" i="2"/>
  <c r="Z16" i="2"/>
  <c r="T17" i="2"/>
  <c r="Z17" i="2"/>
  <c r="T18" i="2"/>
  <c r="Z18" i="2"/>
  <c r="T19" i="2"/>
  <c r="Z19" i="2"/>
  <c r="T20" i="2"/>
  <c r="Z20" i="2"/>
  <c r="T21" i="2"/>
  <c r="Z21" i="2"/>
  <c r="T22" i="2"/>
  <c r="Z22" i="2"/>
  <c r="T23" i="2"/>
  <c r="Z23" i="2"/>
  <c r="T24" i="2"/>
  <c r="Z24" i="2"/>
  <c r="Z2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7" i="2"/>
  <c r="T27" i="2"/>
  <c r="U2" i="2"/>
  <c r="U3" i="2"/>
  <c r="U4" i="2"/>
  <c r="U5" i="2"/>
  <c r="U6" i="2"/>
  <c r="U7" i="2"/>
  <c r="U8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7" i="2"/>
  <c r="V2" i="2"/>
  <c r="V3" i="2"/>
  <c r="V4" i="2"/>
  <c r="V5" i="2"/>
  <c r="V6" i="2"/>
  <c r="V7" i="2"/>
  <c r="V8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7" i="2"/>
  <c r="W2" i="2"/>
  <c r="W3" i="2"/>
  <c r="W4" i="2"/>
  <c r="W5" i="2"/>
  <c r="W6" i="2"/>
  <c r="W7" i="2"/>
  <c r="W8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7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7" i="2"/>
  <c r="R27" i="2"/>
  <c r="Q27" i="2"/>
  <c r="P27" i="2"/>
  <c r="O27" i="2"/>
  <c r="M27" i="2"/>
  <c r="L27" i="2"/>
  <c r="K27" i="2"/>
  <c r="J27" i="2"/>
  <c r="I27" i="2"/>
  <c r="H27" i="2"/>
  <c r="G27" i="2"/>
  <c r="F27" i="2"/>
  <c r="E27" i="2"/>
  <c r="D27" i="2"/>
  <c r="C27" i="2"/>
  <c r="B27" i="2"/>
  <c r="P34" i="1"/>
  <c r="Q34" i="1"/>
  <c r="R34" i="1"/>
  <c r="O34" i="1"/>
  <c r="C34" i="1"/>
  <c r="D34" i="1"/>
  <c r="E34" i="1"/>
  <c r="F34" i="1"/>
  <c r="G34" i="1"/>
  <c r="H34" i="1"/>
  <c r="I34" i="1"/>
  <c r="J34" i="1"/>
  <c r="K34" i="1"/>
  <c r="L34" i="1"/>
  <c r="M34" i="1"/>
  <c r="B34" i="1"/>
</calcChain>
</file>

<file path=xl/sharedStrings.xml><?xml version="1.0" encoding="utf-8"?>
<sst xmlns="http://schemas.openxmlformats.org/spreadsheetml/2006/main" count="51" uniqueCount="26">
  <si>
    <t>Mutantion</t>
  </si>
  <si>
    <t>Unsolved Slices</t>
  </si>
  <si>
    <t>Total # Vars</t>
  </si>
  <si>
    <t>Total # Clauses</t>
  </si>
  <si>
    <t># Slices</t>
  </si>
  <si>
    <t>repeated slices</t>
  </si>
  <si>
    <t>first sol time</t>
  </si>
  <si>
    <t>whole sol time</t>
  </si>
  <si>
    <t>Slice time</t>
  </si>
  <si>
    <t>Canonize Time</t>
  </si>
  <si>
    <t># sat calls</t>
  </si>
  <si>
    <t>original</t>
  </si>
  <si>
    <t># of clauses</t>
  </si>
  <si>
    <t>In one mutant (28) Alloy was able to analyze the spec. Rather Platinum did not produce solutions</t>
  </si>
  <si>
    <t>Average</t>
  </si>
  <si>
    <t># clause in the largest slice</t>
  </si>
  <si>
    <t># vars in largest slice</t>
  </si>
  <si>
    <t>Ts-First solution</t>
  </si>
  <si>
    <t>Ts-whole solution</t>
  </si>
  <si>
    <t>Rs-repeated slices</t>
  </si>
  <si>
    <t>Rs-sizeClauses</t>
  </si>
  <si>
    <t>Rs-#Vars</t>
  </si>
  <si>
    <t>1-Ts First</t>
  </si>
  <si>
    <t>1-Rs Vars</t>
  </si>
  <si>
    <t>1/Ts First</t>
  </si>
  <si>
    <t>Magnitude of analysis time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</si>
</sst>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4" borderId="0" xfId="0" applyFill="1"/>
    <xf numFmtId="0" fontId="5" fillId="5" borderId="0" xfId="0" applyFont="1" applyFill="1"/>
    <xf numFmtId="2" fontId="0" fillId="0" borderId="0" xfId="0" applyNumberFormat="1"/>
    <xf numFmtId="0" fontId="3" fillId="3" borderId="0" xfId="2"/>
    <xf numFmtId="0" fontId="3" fillId="3" borderId="1" xfId="2" applyBorder="1"/>
    <xf numFmtId="2" fontId="2" fillId="2" borderId="0" xfId="1" applyNumberFormat="1"/>
    <xf numFmtId="0" fontId="6" fillId="0" borderId="0" xfId="0" applyFont="1"/>
    <xf numFmtId="0" fontId="6" fillId="5" borderId="0" xfId="0" applyFont="1" applyFill="1"/>
    <xf numFmtId="2" fontId="6" fillId="0" borderId="0" xfId="0" applyNumberFormat="1" applyFont="1"/>
    <xf numFmtId="0" fontId="4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Ts-first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'csos_paired_res (2)'!$T$2:$T$24</c:f>
              <c:numCache>
                <c:formatCode>0.00</c:formatCode>
                <c:ptCount val="23"/>
                <c:pt idx="0">
                  <c:v>0.241379310344828</c:v>
                </c:pt>
                <c:pt idx="1">
                  <c:v>0.0188679245283019</c:v>
                </c:pt>
                <c:pt idx="2">
                  <c:v>0.0869565217391304</c:v>
                </c:pt>
                <c:pt idx="3">
                  <c:v>0.0224719101123595</c:v>
                </c:pt>
                <c:pt idx="4">
                  <c:v>0.417721518987342</c:v>
                </c:pt>
                <c:pt idx="5">
                  <c:v>0.0508474576271186</c:v>
                </c:pt>
                <c:pt idx="6">
                  <c:v>0.032967032967033</c:v>
                </c:pt>
                <c:pt idx="8">
                  <c:v>0.0104166666666667</c:v>
                </c:pt>
                <c:pt idx="9">
                  <c:v>0.169230769230769</c:v>
                </c:pt>
                <c:pt idx="10">
                  <c:v>0.088235294117647</c:v>
                </c:pt>
                <c:pt idx="11">
                  <c:v>0.0446428571428571</c:v>
                </c:pt>
                <c:pt idx="12">
                  <c:v>0.181818181818182</c:v>
                </c:pt>
                <c:pt idx="13">
                  <c:v>0.0365853658536585</c:v>
                </c:pt>
                <c:pt idx="14">
                  <c:v>0.0112359550561798</c:v>
                </c:pt>
                <c:pt idx="15">
                  <c:v>0.0721649484536082</c:v>
                </c:pt>
                <c:pt idx="16">
                  <c:v>0.00133333333333333</c:v>
                </c:pt>
                <c:pt idx="17">
                  <c:v>0.00125</c:v>
                </c:pt>
                <c:pt idx="18">
                  <c:v>0.0222222222222222</c:v>
                </c:pt>
                <c:pt idx="19">
                  <c:v>0.0175438596491228</c:v>
                </c:pt>
                <c:pt idx="20">
                  <c:v>0.0531914893617021</c:v>
                </c:pt>
                <c:pt idx="21">
                  <c:v>0.740740740740741</c:v>
                </c:pt>
                <c:pt idx="22">
                  <c:v>0.0495867768595041</c:v>
                </c:pt>
              </c:numCache>
            </c:numRef>
          </c:yVal>
          <c:smooth val="0"/>
        </c:ser>
        <c:ser>
          <c:idx val="0"/>
          <c:order val="1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'csos_paired_res (2)'!$T$2:$T$24</c:f>
              <c:numCache>
                <c:formatCode>0.00</c:formatCode>
                <c:ptCount val="23"/>
                <c:pt idx="0">
                  <c:v>0.241379310344828</c:v>
                </c:pt>
                <c:pt idx="1">
                  <c:v>0.0188679245283019</c:v>
                </c:pt>
                <c:pt idx="2">
                  <c:v>0.0869565217391304</c:v>
                </c:pt>
                <c:pt idx="3">
                  <c:v>0.0224719101123595</c:v>
                </c:pt>
                <c:pt idx="4">
                  <c:v>0.417721518987342</c:v>
                </c:pt>
                <c:pt idx="5">
                  <c:v>0.0508474576271186</c:v>
                </c:pt>
                <c:pt idx="6">
                  <c:v>0.032967032967033</c:v>
                </c:pt>
                <c:pt idx="8">
                  <c:v>0.0104166666666667</c:v>
                </c:pt>
                <c:pt idx="9">
                  <c:v>0.169230769230769</c:v>
                </c:pt>
                <c:pt idx="10">
                  <c:v>0.088235294117647</c:v>
                </c:pt>
                <c:pt idx="11">
                  <c:v>0.0446428571428571</c:v>
                </c:pt>
                <c:pt idx="12">
                  <c:v>0.181818181818182</c:v>
                </c:pt>
                <c:pt idx="13">
                  <c:v>0.0365853658536585</c:v>
                </c:pt>
                <c:pt idx="14">
                  <c:v>0.0112359550561798</c:v>
                </c:pt>
                <c:pt idx="15">
                  <c:v>0.0721649484536082</c:v>
                </c:pt>
                <c:pt idx="16">
                  <c:v>0.00133333333333333</c:v>
                </c:pt>
                <c:pt idx="17">
                  <c:v>0.00125</c:v>
                </c:pt>
                <c:pt idx="18">
                  <c:v>0.0222222222222222</c:v>
                </c:pt>
                <c:pt idx="19">
                  <c:v>0.0175438596491228</c:v>
                </c:pt>
                <c:pt idx="20">
                  <c:v>0.0531914893617021</c:v>
                </c:pt>
                <c:pt idx="21">
                  <c:v>0.740740740740741</c:v>
                </c:pt>
                <c:pt idx="22">
                  <c:v>0.0495867768595041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6365440"/>
        <c:axId val="-1996359728"/>
      </c:scatterChart>
      <c:valAx>
        <c:axId val="-19963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6359728"/>
        <c:crosses val="autoZero"/>
        <c:crossBetween val="midCat"/>
      </c:valAx>
      <c:valAx>
        <c:axId val="-1996359728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6365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1-Ts (first)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'csos_paired_res (2)'!$Z$2:$Z$24</c:f>
              <c:numCache>
                <c:formatCode>0.00</c:formatCode>
                <c:ptCount val="23"/>
                <c:pt idx="0">
                  <c:v>0.758620689655172</c:v>
                </c:pt>
                <c:pt idx="1">
                  <c:v>0.981132075471698</c:v>
                </c:pt>
                <c:pt idx="2">
                  <c:v>0.91304347826087</c:v>
                </c:pt>
                <c:pt idx="3">
                  <c:v>0.97752808988764</c:v>
                </c:pt>
                <c:pt idx="4">
                  <c:v>0.582278481012658</c:v>
                </c:pt>
                <c:pt idx="5">
                  <c:v>0.949152542372881</c:v>
                </c:pt>
                <c:pt idx="6">
                  <c:v>0.967032967032967</c:v>
                </c:pt>
                <c:pt idx="7">
                  <c:v>1.0</c:v>
                </c:pt>
                <c:pt idx="8">
                  <c:v>0.989583333333333</c:v>
                </c:pt>
                <c:pt idx="9">
                  <c:v>0.830769230769231</c:v>
                </c:pt>
                <c:pt idx="10">
                  <c:v>0.911764705882353</c:v>
                </c:pt>
                <c:pt idx="11">
                  <c:v>0.955357142857143</c:v>
                </c:pt>
                <c:pt idx="12">
                  <c:v>0.818181818181818</c:v>
                </c:pt>
                <c:pt idx="13">
                  <c:v>0.963414634146341</c:v>
                </c:pt>
                <c:pt idx="14">
                  <c:v>0.98876404494382</c:v>
                </c:pt>
                <c:pt idx="15">
                  <c:v>0.927835051546392</c:v>
                </c:pt>
                <c:pt idx="16">
                  <c:v>0.998666666666667</c:v>
                </c:pt>
                <c:pt idx="17">
                  <c:v>0.99875</c:v>
                </c:pt>
                <c:pt idx="18">
                  <c:v>0.977777777777778</c:v>
                </c:pt>
                <c:pt idx="19">
                  <c:v>0.982456140350877</c:v>
                </c:pt>
                <c:pt idx="20">
                  <c:v>0.946808510638298</c:v>
                </c:pt>
                <c:pt idx="21">
                  <c:v>0.259259259259259</c:v>
                </c:pt>
                <c:pt idx="22">
                  <c:v>0.950413223140496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3092864"/>
        <c:axId val="-1993086928"/>
      </c:scatterChart>
      <c:valAx>
        <c:axId val="-19930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086928"/>
        <c:crosses val="autoZero"/>
        <c:crossBetween val="midCat"/>
      </c:valAx>
      <c:valAx>
        <c:axId val="-1993086928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09286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 - Vars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'csos_paired_res (2)'!$X$2:$X$24</c:f>
              <c:numCache>
                <c:formatCode>0.00</c:formatCode>
                <c:ptCount val="23"/>
                <c:pt idx="0">
                  <c:v>0.868204283360791</c:v>
                </c:pt>
                <c:pt idx="1">
                  <c:v>0.868204283360791</c:v>
                </c:pt>
                <c:pt idx="2">
                  <c:v>0.913841807909605</c:v>
                </c:pt>
                <c:pt idx="3">
                  <c:v>0.868204283360791</c:v>
                </c:pt>
                <c:pt idx="4">
                  <c:v>0.868131868131868</c:v>
                </c:pt>
                <c:pt idx="5">
                  <c:v>0.352590181719555</c:v>
                </c:pt>
                <c:pt idx="6">
                  <c:v>0.841592201462226</c:v>
                </c:pt>
                <c:pt idx="7">
                  <c:v>0.815052041633307</c:v>
                </c:pt>
                <c:pt idx="8">
                  <c:v>0.992487479131886</c:v>
                </c:pt>
                <c:pt idx="9">
                  <c:v>0.416107382550336</c:v>
                </c:pt>
                <c:pt idx="10">
                  <c:v>0.843648208469055</c:v>
                </c:pt>
                <c:pt idx="11">
                  <c:v>0.84354628422425</c:v>
                </c:pt>
                <c:pt idx="12">
                  <c:v>0.814609141392567</c:v>
                </c:pt>
                <c:pt idx="13">
                  <c:v>0.841592201462226</c:v>
                </c:pt>
                <c:pt idx="14">
                  <c:v>0.999165275459098</c:v>
                </c:pt>
                <c:pt idx="15">
                  <c:v>0.457831325301205</c:v>
                </c:pt>
                <c:pt idx="16">
                  <c:v>0.992487479131886</c:v>
                </c:pt>
                <c:pt idx="17">
                  <c:v>0.992487479131886</c:v>
                </c:pt>
                <c:pt idx="18">
                  <c:v>0.841592201462226</c:v>
                </c:pt>
                <c:pt idx="19">
                  <c:v>0.868204283360791</c:v>
                </c:pt>
                <c:pt idx="20">
                  <c:v>0.868204283360791</c:v>
                </c:pt>
                <c:pt idx="21">
                  <c:v>0.868131868131868</c:v>
                </c:pt>
                <c:pt idx="22">
                  <c:v>0.498684210526316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4409024"/>
        <c:axId val="-1992353344"/>
      </c:scatterChart>
      <c:valAx>
        <c:axId val="-199440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2353344"/>
        <c:crosses val="autoZero"/>
        <c:crossBetween val="midCat"/>
      </c:valAx>
      <c:valAx>
        <c:axId val="-1992353344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440902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1-Rs (Vars)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'csos_paired_res (2)'!$AA$2:$AA$24</c:f>
              <c:numCache>
                <c:formatCode>0.00</c:formatCode>
                <c:ptCount val="23"/>
                <c:pt idx="0">
                  <c:v>0.131795716639209</c:v>
                </c:pt>
                <c:pt idx="1">
                  <c:v>0.131795716639209</c:v>
                </c:pt>
                <c:pt idx="2">
                  <c:v>0.0861581920903955</c:v>
                </c:pt>
                <c:pt idx="3">
                  <c:v>0.131795716639209</c:v>
                </c:pt>
                <c:pt idx="4">
                  <c:v>0.131868131868132</c:v>
                </c:pt>
                <c:pt idx="5">
                  <c:v>0.647409818280445</c:v>
                </c:pt>
                <c:pt idx="6">
                  <c:v>0.158407798537774</c:v>
                </c:pt>
                <c:pt idx="7">
                  <c:v>0.184947958366693</c:v>
                </c:pt>
                <c:pt idx="8">
                  <c:v>0.00751252086811352</c:v>
                </c:pt>
                <c:pt idx="9">
                  <c:v>0.583892617449664</c:v>
                </c:pt>
                <c:pt idx="10">
                  <c:v>0.156351791530945</c:v>
                </c:pt>
                <c:pt idx="11">
                  <c:v>0.15645371577575</c:v>
                </c:pt>
                <c:pt idx="12">
                  <c:v>0.185390858607433</c:v>
                </c:pt>
                <c:pt idx="13">
                  <c:v>0.158407798537774</c:v>
                </c:pt>
                <c:pt idx="14">
                  <c:v>0.000834724540901502</c:v>
                </c:pt>
                <c:pt idx="15">
                  <c:v>0.542168674698795</c:v>
                </c:pt>
                <c:pt idx="16">
                  <c:v>0.00751252086811352</c:v>
                </c:pt>
                <c:pt idx="17">
                  <c:v>0.00751252086811352</c:v>
                </c:pt>
                <c:pt idx="18">
                  <c:v>0.158407798537774</c:v>
                </c:pt>
                <c:pt idx="19">
                  <c:v>0.131795716639209</c:v>
                </c:pt>
                <c:pt idx="20">
                  <c:v>0.131795716639209</c:v>
                </c:pt>
                <c:pt idx="21">
                  <c:v>0.131868131868132</c:v>
                </c:pt>
                <c:pt idx="22">
                  <c:v>0.501315789473684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2331808"/>
        <c:axId val="-1992325904"/>
      </c:scatterChart>
      <c:valAx>
        <c:axId val="-199233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2325904"/>
        <c:crosses val="autoZero"/>
        <c:crossBetween val="midCat"/>
      </c:valAx>
      <c:valAx>
        <c:axId val="-1992325904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233180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Ts-whole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'csos_paired_res (2)'!$U$2:$U$24</c:f>
              <c:numCache>
                <c:formatCode>0.00</c:formatCode>
                <c:ptCount val="23"/>
                <c:pt idx="0">
                  <c:v>0.451321585903084</c:v>
                </c:pt>
                <c:pt idx="1">
                  <c:v>0.651467654602451</c:v>
                </c:pt>
                <c:pt idx="2">
                  <c:v>0.195227765726681</c:v>
                </c:pt>
                <c:pt idx="3">
                  <c:v>0.712305854241338</c:v>
                </c:pt>
                <c:pt idx="4">
                  <c:v>0.0254265272427078</c:v>
                </c:pt>
                <c:pt idx="5">
                  <c:v>0.872758262439714</c:v>
                </c:pt>
                <c:pt idx="6">
                  <c:v>0.74504176702711</c:v>
                </c:pt>
                <c:pt idx="8">
                  <c:v>0.00240963855421687</c:v>
                </c:pt>
                <c:pt idx="9">
                  <c:v>0.756159855769231</c:v>
                </c:pt>
                <c:pt idx="10">
                  <c:v>0.761859979101358</c:v>
                </c:pt>
                <c:pt idx="11">
                  <c:v>0.68556338028169</c:v>
                </c:pt>
                <c:pt idx="12">
                  <c:v>0.702456318055204</c:v>
                </c:pt>
                <c:pt idx="13">
                  <c:v>0.038394651064677</c:v>
                </c:pt>
                <c:pt idx="14">
                  <c:v>0.000503018108651911</c:v>
                </c:pt>
                <c:pt idx="15">
                  <c:v>0.703042008691453</c:v>
                </c:pt>
                <c:pt idx="16">
                  <c:v>0.00178332590280874</c:v>
                </c:pt>
                <c:pt idx="17">
                  <c:v>0.000256805341551104</c:v>
                </c:pt>
                <c:pt idx="18">
                  <c:v>0.697145221348779</c:v>
                </c:pt>
                <c:pt idx="19">
                  <c:v>0.0223822765191229</c:v>
                </c:pt>
                <c:pt idx="20">
                  <c:v>0.576325872151643</c:v>
                </c:pt>
                <c:pt idx="21">
                  <c:v>0.037999866628137</c:v>
                </c:pt>
                <c:pt idx="22">
                  <c:v>0.804306220095694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3302704"/>
        <c:axId val="-1993305648"/>
      </c:scatterChart>
      <c:valAx>
        <c:axId val="-199330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305648"/>
        <c:crosses val="autoZero"/>
        <c:crossBetween val="midCat"/>
      </c:valAx>
      <c:valAx>
        <c:axId val="-1993305648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3027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87232</xdr:colOff>
      <xdr:row>29</xdr:row>
      <xdr:rowOff>129309</xdr:rowOff>
    </xdr:from>
    <xdr:to>
      <xdr:col>19</xdr:col>
      <xdr:colOff>387414</xdr:colOff>
      <xdr:row>42</xdr:row>
      <xdr:rowOff>204226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29</xdr:row>
      <xdr:rowOff>0</xdr:rowOff>
    </xdr:from>
    <xdr:to>
      <xdr:col>24</xdr:col>
      <xdr:colOff>787656</xdr:colOff>
      <xdr:row>42</xdr:row>
      <xdr:rowOff>74917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89798</xdr:colOff>
      <xdr:row>44</xdr:row>
      <xdr:rowOff>12829</xdr:rowOff>
    </xdr:from>
    <xdr:to>
      <xdr:col>19</xdr:col>
      <xdr:colOff>389980</xdr:colOff>
      <xdr:row>57</xdr:row>
      <xdr:rowOff>87746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44</xdr:row>
      <xdr:rowOff>0</xdr:rowOff>
    </xdr:from>
    <xdr:to>
      <xdr:col>24</xdr:col>
      <xdr:colOff>787656</xdr:colOff>
      <xdr:row>57</xdr:row>
      <xdr:rowOff>74917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218080</xdr:colOff>
      <xdr:row>58</xdr:row>
      <xdr:rowOff>179596</xdr:rowOff>
    </xdr:from>
    <xdr:to>
      <xdr:col>19</xdr:col>
      <xdr:colOff>518262</xdr:colOff>
      <xdr:row>72</xdr:row>
      <xdr:rowOff>49260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abSelected="1" zoomScale="99" workbookViewId="0">
      <selection activeCell="R28" sqref="R28"/>
    </sheetView>
  </sheetViews>
  <sheetFormatPr baseColWidth="10" defaultRowHeight="16" x14ac:dyDescent="0.2"/>
  <cols>
    <col min="1" max="1" width="9.83203125" bestFit="1" customWidth="1"/>
    <col min="2" max="2" width="13.5" bestFit="1" customWidth="1"/>
    <col min="3" max="3" width="10.6640625" bestFit="1" customWidth="1"/>
    <col min="4" max="4" width="13.1640625" bestFit="1" customWidth="1"/>
    <col min="5" max="5" width="7" bestFit="1" customWidth="1"/>
    <col min="6" max="6" width="22.83203125" bestFit="1" customWidth="1"/>
    <col min="7" max="7" width="12" bestFit="1" customWidth="1"/>
    <col min="8" max="8" width="13.33203125" bestFit="1" customWidth="1"/>
    <col min="9" max="9" width="11.1640625" bestFit="1" customWidth="1"/>
    <col min="10" max="10" width="13" bestFit="1" customWidth="1"/>
    <col min="11" max="11" width="8.83203125" bestFit="1" customWidth="1"/>
    <col min="12" max="12" width="9" bestFit="1" customWidth="1"/>
    <col min="13" max="13" width="13" bestFit="1" customWidth="1"/>
    <col min="14" max="14" width="3.5" style="3" customWidth="1"/>
    <col min="15" max="15" width="10.5" bestFit="1" customWidth="1"/>
    <col min="16" max="16" width="11.1640625" bestFit="1" customWidth="1"/>
    <col min="17" max="17" width="13" bestFit="1" customWidth="1"/>
    <col min="20" max="20" width="14" bestFit="1" customWidth="1"/>
    <col min="21" max="21" width="15.5" bestFit="1" customWidth="1"/>
    <col min="23" max="23" width="12.6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8</v>
      </c>
      <c r="M1" s="1" t="s">
        <v>9</v>
      </c>
      <c r="O1" s="1" t="s">
        <v>12</v>
      </c>
      <c r="P1" s="1" t="s">
        <v>6</v>
      </c>
      <c r="Q1" s="1" t="s">
        <v>7</v>
      </c>
      <c r="R1" s="1" t="s">
        <v>10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24</v>
      </c>
      <c r="Z1" s="1" t="s">
        <v>22</v>
      </c>
      <c r="AA1" s="1" t="s">
        <v>23</v>
      </c>
    </row>
    <row r="2" spans="1:27" x14ac:dyDescent="0.2">
      <c r="A2">
        <v>0</v>
      </c>
      <c r="B2">
        <v>1</v>
      </c>
      <c r="C2">
        <v>2428</v>
      </c>
      <c r="D2">
        <v>0</v>
      </c>
      <c r="E2">
        <v>1623</v>
      </c>
      <c r="F2">
        <v>3464</v>
      </c>
      <c r="G2">
        <v>320</v>
      </c>
      <c r="H2">
        <v>1622</v>
      </c>
      <c r="I2">
        <v>14</v>
      </c>
      <c r="J2">
        <v>2049</v>
      </c>
      <c r="K2">
        <v>1300</v>
      </c>
      <c r="L2">
        <v>5</v>
      </c>
      <c r="M2">
        <v>122</v>
      </c>
      <c r="O2">
        <v>7309</v>
      </c>
      <c r="P2">
        <v>58</v>
      </c>
      <c r="Q2">
        <v>4540</v>
      </c>
      <c r="R2">
        <v>1300</v>
      </c>
      <c r="T2" s="4">
        <f>I2/P2</f>
        <v>0.2413793103448276</v>
      </c>
      <c r="U2" s="4">
        <f>J2/Q2</f>
        <v>0.45132158590308369</v>
      </c>
      <c r="V2" s="4">
        <f>H2/E2</f>
        <v>0.99938385705483668</v>
      </c>
      <c r="W2" s="4">
        <f>(O2-F2)/O2</f>
        <v>0.52606375701190311</v>
      </c>
      <c r="X2" s="4">
        <f>(C2-G2)/C2</f>
        <v>0.86820428336079081</v>
      </c>
      <c r="Y2" s="4">
        <f>P2/I2</f>
        <v>4.1428571428571432</v>
      </c>
      <c r="Z2" s="4">
        <f>1-T2</f>
        <v>0.75862068965517238</v>
      </c>
      <c r="AA2" s="4">
        <f>G2/C2</f>
        <v>0.13179571663920922</v>
      </c>
    </row>
    <row r="3" spans="1:27" x14ac:dyDescent="0.2">
      <c r="A3">
        <v>1</v>
      </c>
      <c r="B3">
        <v>1</v>
      </c>
      <c r="C3">
        <v>2428</v>
      </c>
      <c r="D3">
        <v>0</v>
      </c>
      <c r="E3">
        <v>1623</v>
      </c>
      <c r="F3">
        <v>2413</v>
      </c>
      <c r="G3">
        <v>320</v>
      </c>
      <c r="H3">
        <v>1622</v>
      </c>
      <c r="I3">
        <v>2</v>
      </c>
      <c r="J3">
        <v>2286</v>
      </c>
      <c r="K3">
        <v>2310</v>
      </c>
      <c r="L3">
        <v>5</v>
      </c>
      <c r="M3">
        <v>60</v>
      </c>
      <c r="O3">
        <v>7306</v>
      </c>
      <c r="P3">
        <v>106</v>
      </c>
      <c r="Q3">
        <v>3509</v>
      </c>
      <c r="R3">
        <v>2310</v>
      </c>
      <c r="T3" s="4">
        <f t="shared" ref="T3:T24" si="0">I3/P3</f>
        <v>1.8867924528301886E-2</v>
      </c>
      <c r="U3" s="4">
        <f t="shared" ref="U3:U24" si="1">J3/Q3</f>
        <v>0.65146765460245082</v>
      </c>
      <c r="V3" s="4">
        <f t="shared" ref="V3:V24" si="2">H3/E3</f>
        <v>0.99938385705483668</v>
      </c>
      <c r="W3" s="4">
        <f t="shared" ref="W3:W24" si="3">(O3-F3)/O3</f>
        <v>0.66972351491924442</v>
      </c>
      <c r="X3" s="4">
        <f t="shared" ref="X3:X24" si="4">(C3-G3)/C3</f>
        <v>0.86820428336079081</v>
      </c>
      <c r="Y3" s="4">
        <f t="shared" ref="Y3:Y24" si="5">P3/I3</f>
        <v>53</v>
      </c>
      <c r="Z3" s="4">
        <f t="shared" ref="Z3:Z24" si="6">1-T3</f>
        <v>0.98113207547169812</v>
      </c>
      <c r="AA3" s="4">
        <f t="shared" ref="AA3:AA24" si="7">G3/C3</f>
        <v>0.13179571663920922</v>
      </c>
    </row>
    <row r="4" spans="1:27" s="8" customFormat="1" x14ac:dyDescent="0.2">
      <c r="A4" s="8">
        <v>2</v>
      </c>
      <c r="B4">
        <v>15</v>
      </c>
      <c r="C4">
        <v>2124</v>
      </c>
      <c r="D4">
        <v>0</v>
      </c>
      <c r="E4">
        <v>1500</v>
      </c>
      <c r="F4">
        <v>1266</v>
      </c>
      <c r="G4">
        <v>183</v>
      </c>
      <c r="H4">
        <v>13</v>
      </c>
      <c r="I4">
        <v>4</v>
      </c>
      <c r="J4">
        <v>90</v>
      </c>
      <c r="K4">
        <v>46</v>
      </c>
      <c r="L4">
        <v>2</v>
      </c>
      <c r="M4">
        <v>35</v>
      </c>
      <c r="N4" s="9"/>
      <c r="O4">
        <v>5735</v>
      </c>
      <c r="P4">
        <v>46</v>
      </c>
      <c r="Q4">
        <v>461</v>
      </c>
      <c r="R4">
        <v>46</v>
      </c>
      <c r="T4" s="10">
        <f t="shared" si="0"/>
        <v>8.6956521739130432E-2</v>
      </c>
      <c r="U4" s="10">
        <f t="shared" si="1"/>
        <v>0.19522776572668113</v>
      </c>
      <c r="V4" s="10">
        <f t="shared" si="2"/>
        <v>8.6666666666666663E-3</v>
      </c>
      <c r="W4" s="10">
        <f t="shared" si="3"/>
        <v>0.77925021795989535</v>
      </c>
      <c r="X4" s="10">
        <f t="shared" si="4"/>
        <v>0.91384180790960456</v>
      </c>
      <c r="Y4" s="10">
        <f t="shared" si="5"/>
        <v>11.5</v>
      </c>
      <c r="Z4" s="10">
        <f t="shared" si="6"/>
        <v>0.91304347826086962</v>
      </c>
      <c r="AA4" s="10">
        <f t="shared" si="7"/>
        <v>8.6158192090395477E-2</v>
      </c>
    </row>
    <row r="5" spans="1:27" x14ac:dyDescent="0.2">
      <c r="A5">
        <v>3</v>
      </c>
      <c r="B5">
        <v>1</v>
      </c>
      <c r="C5">
        <v>2428</v>
      </c>
      <c r="D5">
        <v>0</v>
      </c>
      <c r="E5">
        <v>1623</v>
      </c>
      <c r="F5">
        <v>2399</v>
      </c>
      <c r="G5">
        <v>320</v>
      </c>
      <c r="H5">
        <v>1622</v>
      </c>
      <c r="I5">
        <v>2</v>
      </c>
      <c r="J5">
        <v>2981</v>
      </c>
      <c r="K5">
        <v>2730</v>
      </c>
      <c r="L5">
        <v>5</v>
      </c>
      <c r="M5">
        <v>83</v>
      </c>
      <c r="O5">
        <v>7291</v>
      </c>
      <c r="P5">
        <v>89</v>
      </c>
      <c r="Q5">
        <v>4185</v>
      </c>
      <c r="R5">
        <v>2730</v>
      </c>
      <c r="T5" s="4">
        <f t="shared" si="0"/>
        <v>2.247191011235955E-2</v>
      </c>
      <c r="U5" s="4">
        <f t="shared" si="1"/>
        <v>0.71230585424133808</v>
      </c>
      <c r="V5" s="4">
        <f t="shared" si="2"/>
        <v>0.99938385705483668</v>
      </c>
      <c r="W5" s="4">
        <f t="shared" si="3"/>
        <v>0.67096420244136612</v>
      </c>
      <c r="X5" s="4">
        <f t="shared" si="4"/>
        <v>0.86820428336079081</v>
      </c>
      <c r="Y5" s="4">
        <f t="shared" si="5"/>
        <v>44.5</v>
      </c>
      <c r="Z5" s="4">
        <f t="shared" si="6"/>
        <v>0.97752808988764039</v>
      </c>
      <c r="AA5" s="4">
        <f t="shared" si="7"/>
        <v>0.13179571663920922</v>
      </c>
    </row>
    <row r="6" spans="1:27" x14ac:dyDescent="0.2">
      <c r="A6">
        <v>4</v>
      </c>
      <c r="B6">
        <v>16</v>
      </c>
      <c r="C6">
        <v>2275</v>
      </c>
      <c r="D6">
        <v>0</v>
      </c>
      <c r="E6">
        <v>1534</v>
      </c>
      <c r="F6">
        <v>3193</v>
      </c>
      <c r="G6">
        <v>300</v>
      </c>
      <c r="H6">
        <v>12</v>
      </c>
      <c r="I6">
        <v>33</v>
      </c>
      <c r="J6">
        <v>1848</v>
      </c>
      <c r="K6">
        <v>1461</v>
      </c>
      <c r="L6">
        <v>5</v>
      </c>
      <c r="M6">
        <v>91</v>
      </c>
      <c r="O6">
        <v>6687</v>
      </c>
      <c r="P6">
        <v>79</v>
      </c>
      <c r="Q6">
        <v>72680</v>
      </c>
      <c r="R6">
        <v>24310</v>
      </c>
      <c r="T6" s="4">
        <f t="shared" si="0"/>
        <v>0.41772151898734178</v>
      </c>
      <c r="U6" s="4">
        <f t="shared" si="1"/>
        <v>2.5426527242707761E-2</v>
      </c>
      <c r="V6" s="4">
        <f t="shared" si="2"/>
        <v>7.8226857887874843E-3</v>
      </c>
      <c r="W6" s="4">
        <f t="shared" si="3"/>
        <v>0.52250635561537306</v>
      </c>
      <c r="X6" s="4">
        <f t="shared" si="4"/>
        <v>0.86813186813186816</v>
      </c>
      <c r="Y6" s="4">
        <f t="shared" si="5"/>
        <v>2.393939393939394</v>
      </c>
      <c r="Z6" s="4">
        <f t="shared" si="6"/>
        <v>0.58227848101265822</v>
      </c>
      <c r="AA6" s="4">
        <f t="shared" si="7"/>
        <v>0.13186813186813187</v>
      </c>
    </row>
    <row r="7" spans="1:27" x14ac:dyDescent="0.2">
      <c r="A7">
        <v>6</v>
      </c>
      <c r="B7">
        <v>1</v>
      </c>
      <c r="C7">
        <v>3687</v>
      </c>
      <c r="D7">
        <v>0</v>
      </c>
      <c r="E7">
        <v>1291</v>
      </c>
      <c r="F7">
        <v>12790</v>
      </c>
      <c r="G7">
        <v>2387</v>
      </c>
      <c r="H7">
        <v>1290</v>
      </c>
      <c r="I7">
        <v>6</v>
      </c>
      <c r="J7">
        <v>1577631</v>
      </c>
      <c r="K7">
        <v>278096</v>
      </c>
      <c r="L7">
        <v>7</v>
      </c>
      <c r="M7">
        <v>615</v>
      </c>
      <c r="O7">
        <v>14778</v>
      </c>
      <c r="P7">
        <v>118</v>
      </c>
      <c r="Q7">
        <v>1807638</v>
      </c>
      <c r="R7">
        <v>278096</v>
      </c>
      <c r="T7" s="4">
        <f t="shared" si="0"/>
        <v>5.0847457627118647E-2</v>
      </c>
      <c r="U7" s="4">
        <f t="shared" si="1"/>
        <v>0.87275826243971411</v>
      </c>
      <c r="V7" s="4">
        <f t="shared" si="2"/>
        <v>0.99922540666150272</v>
      </c>
      <c r="W7" s="4">
        <f t="shared" si="3"/>
        <v>0.13452429286777642</v>
      </c>
      <c r="X7" s="4">
        <f t="shared" si="4"/>
        <v>0.3525901817195552</v>
      </c>
      <c r="Y7" s="4">
        <f t="shared" si="5"/>
        <v>19.666666666666668</v>
      </c>
      <c r="Z7" s="4">
        <f t="shared" si="6"/>
        <v>0.94915254237288138</v>
      </c>
      <c r="AA7" s="4">
        <f t="shared" si="7"/>
        <v>0.64740981828044486</v>
      </c>
    </row>
    <row r="8" spans="1:27" x14ac:dyDescent="0.2">
      <c r="A8">
        <v>10</v>
      </c>
      <c r="B8">
        <v>1</v>
      </c>
      <c r="C8">
        <v>2462</v>
      </c>
      <c r="D8">
        <v>0</v>
      </c>
      <c r="E8">
        <v>1587</v>
      </c>
      <c r="F8">
        <v>3004</v>
      </c>
      <c r="G8">
        <v>390</v>
      </c>
      <c r="H8">
        <v>1586</v>
      </c>
      <c r="I8">
        <v>3</v>
      </c>
      <c r="J8">
        <v>14538</v>
      </c>
      <c r="K8">
        <v>14274</v>
      </c>
      <c r="L8">
        <v>6</v>
      </c>
      <c r="M8">
        <v>80</v>
      </c>
      <c r="O8">
        <v>7858</v>
      </c>
      <c r="P8">
        <v>91</v>
      </c>
      <c r="Q8">
        <v>19513</v>
      </c>
      <c r="R8">
        <v>14274</v>
      </c>
      <c r="T8" s="4">
        <f t="shared" si="0"/>
        <v>3.2967032967032968E-2</v>
      </c>
      <c r="U8" s="4">
        <f t="shared" si="1"/>
        <v>0.74504176702711011</v>
      </c>
      <c r="V8" s="4">
        <f t="shared" si="2"/>
        <v>0.99936988027725271</v>
      </c>
      <c r="W8" s="4">
        <f t="shared" si="3"/>
        <v>0.61771443115296509</v>
      </c>
      <c r="X8" s="4">
        <f t="shared" si="4"/>
        <v>0.8415922014622258</v>
      </c>
      <c r="Y8" s="4">
        <f t="shared" si="5"/>
        <v>30.333333333333332</v>
      </c>
      <c r="Z8" s="4">
        <f t="shared" si="6"/>
        <v>0.96703296703296704</v>
      </c>
      <c r="AA8" s="4">
        <f t="shared" si="7"/>
        <v>0.15840779853777417</v>
      </c>
    </row>
    <row r="9" spans="1:27" s="8" customFormat="1" x14ac:dyDescent="0.2">
      <c r="A9" s="8">
        <v>11</v>
      </c>
      <c r="B9">
        <v>2</v>
      </c>
      <c r="C9">
        <v>2498</v>
      </c>
      <c r="D9">
        <v>0</v>
      </c>
      <c r="E9">
        <v>1551</v>
      </c>
      <c r="F9">
        <v>5022</v>
      </c>
      <c r="G9">
        <v>462</v>
      </c>
      <c r="H9">
        <v>1</v>
      </c>
      <c r="I9">
        <v>11</v>
      </c>
      <c r="J9">
        <v>280313</v>
      </c>
      <c r="K9">
        <v>54732</v>
      </c>
      <c r="L9">
        <v>5</v>
      </c>
      <c r="M9">
        <v>180</v>
      </c>
      <c r="N9" s="9"/>
      <c r="T9" s="10"/>
      <c r="U9" s="10"/>
      <c r="V9" s="10"/>
      <c r="W9" s="10"/>
      <c r="X9" s="10">
        <f t="shared" si="4"/>
        <v>0.81505204163330669</v>
      </c>
      <c r="Y9" s="10">
        <f t="shared" si="5"/>
        <v>0</v>
      </c>
      <c r="Z9" s="10">
        <f t="shared" si="6"/>
        <v>1</v>
      </c>
      <c r="AA9" s="10">
        <f t="shared" si="7"/>
        <v>0.18494795836669337</v>
      </c>
    </row>
    <row r="10" spans="1:27" x14ac:dyDescent="0.2">
      <c r="A10">
        <v>13</v>
      </c>
      <c r="B10">
        <v>1</v>
      </c>
      <c r="C10">
        <v>2396</v>
      </c>
      <c r="D10">
        <v>0</v>
      </c>
      <c r="E10">
        <v>1659</v>
      </c>
      <c r="F10">
        <v>118</v>
      </c>
      <c r="G10">
        <v>18</v>
      </c>
      <c r="H10">
        <v>1658</v>
      </c>
      <c r="I10">
        <v>1</v>
      </c>
      <c r="J10">
        <v>3</v>
      </c>
      <c r="K10">
        <v>1</v>
      </c>
      <c r="L10">
        <v>4</v>
      </c>
      <c r="M10">
        <v>90</v>
      </c>
      <c r="O10">
        <v>6708</v>
      </c>
      <c r="P10">
        <v>96</v>
      </c>
      <c r="Q10">
        <v>1245</v>
      </c>
      <c r="R10">
        <v>440</v>
      </c>
      <c r="T10" s="4">
        <f t="shared" si="0"/>
        <v>1.0416666666666666E-2</v>
      </c>
      <c r="U10" s="4">
        <f t="shared" si="1"/>
        <v>2.4096385542168677E-3</v>
      </c>
      <c r="V10" s="4">
        <f t="shared" si="2"/>
        <v>0.99939722724532853</v>
      </c>
      <c r="W10" s="4">
        <f t="shared" si="3"/>
        <v>0.98240906380441262</v>
      </c>
      <c r="X10" s="4">
        <f t="shared" si="4"/>
        <v>0.99248747913188651</v>
      </c>
      <c r="Y10" s="4">
        <f t="shared" si="5"/>
        <v>96</v>
      </c>
      <c r="Z10" s="4">
        <f t="shared" si="6"/>
        <v>0.98958333333333337</v>
      </c>
      <c r="AA10" s="4">
        <f t="shared" si="7"/>
        <v>7.5125208681135229E-3</v>
      </c>
    </row>
    <row r="11" spans="1:27" s="8" customFormat="1" x14ac:dyDescent="0.2">
      <c r="A11" s="8">
        <v>14</v>
      </c>
      <c r="B11">
        <v>1</v>
      </c>
      <c r="C11">
        <v>3278</v>
      </c>
      <c r="D11">
        <v>0</v>
      </c>
      <c r="E11">
        <v>1355</v>
      </c>
      <c r="F11">
        <v>11223</v>
      </c>
      <c r="G11">
        <v>1914</v>
      </c>
      <c r="H11">
        <v>1354</v>
      </c>
      <c r="I11">
        <v>11</v>
      </c>
      <c r="J11">
        <v>5033</v>
      </c>
      <c r="K11">
        <v>2814</v>
      </c>
      <c r="L11">
        <v>5</v>
      </c>
      <c r="M11">
        <v>144</v>
      </c>
      <c r="N11" s="9"/>
      <c r="O11">
        <v>13201</v>
      </c>
      <c r="P11">
        <v>65</v>
      </c>
      <c r="Q11">
        <v>6656</v>
      </c>
      <c r="R11">
        <v>2814</v>
      </c>
      <c r="T11" s="10">
        <f t="shared" si="0"/>
        <v>0.16923076923076924</v>
      </c>
      <c r="U11" s="10">
        <f t="shared" si="1"/>
        <v>0.75615985576923073</v>
      </c>
      <c r="V11" s="10">
        <f t="shared" si="2"/>
        <v>0.99926199261992621</v>
      </c>
      <c r="W11" s="10">
        <f t="shared" si="3"/>
        <v>0.14983713355048861</v>
      </c>
      <c r="X11" s="10">
        <f t="shared" si="4"/>
        <v>0.41610738255033558</v>
      </c>
      <c r="Y11" s="10">
        <f t="shared" si="5"/>
        <v>5.9090909090909092</v>
      </c>
      <c r="Z11" s="10">
        <f t="shared" si="6"/>
        <v>0.8307692307692307</v>
      </c>
      <c r="AA11" s="10">
        <f t="shared" si="7"/>
        <v>0.58389261744966447</v>
      </c>
    </row>
    <row r="12" spans="1:27" s="8" customFormat="1" x14ac:dyDescent="0.2">
      <c r="A12" s="8">
        <v>15</v>
      </c>
      <c r="B12">
        <v>1</v>
      </c>
      <c r="C12">
        <v>2456</v>
      </c>
      <c r="D12">
        <v>0</v>
      </c>
      <c r="E12">
        <v>1587</v>
      </c>
      <c r="F12">
        <v>2955</v>
      </c>
      <c r="G12">
        <v>384</v>
      </c>
      <c r="H12">
        <v>1586</v>
      </c>
      <c r="I12">
        <v>6</v>
      </c>
      <c r="J12">
        <v>7291</v>
      </c>
      <c r="K12">
        <v>6864</v>
      </c>
      <c r="L12">
        <v>5</v>
      </c>
      <c r="M12">
        <v>85</v>
      </c>
      <c r="N12" s="9"/>
      <c r="O12">
        <v>7813</v>
      </c>
      <c r="P12">
        <v>68</v>
      </c>
      <c r="Q12">
        <v>9570</v>
      </c>
      <c r="R12">
        <v>6864</v>
      </c>
      <c r="T12" s="10">
        <f t="shared" si="0"/>
        <v>8.8235294117647065E-2</v>
      </c>
      <c r="U12" s="10">
        <f t="shared" si="1"/>
        <v>0.76185997910135839</v>
      </c>
      <c r="V12" s="10">
        <f t="shared" si="2"/>
        <v>0.99936988027725271</v>
      </c>
      <c r="W12" s="10">
        <f t="shared" si="3"/>
        <v>0.62178420581082816</v>
      </c>
      <c r="X12" s="10">
        <f t="shared" si="4"/>
        <v>0.84364820846905542</v>
      </c>
      <c r="Y12" s="10">
        <f t="shared" si="5"/>
        <v>11.333333333333334</v>
      </c>
      <c r="Z12" s="10">
        <f t="shared" si="6"/>
        <v>0.91176470588235292</v>
      </c>
      <c r="AA12" s="10">
        <f t="shared" si="7"/>
        <v>0.15635179153094461</v>
      </c>
    </row>
    <row r="13" spans="1:27" s="8" customFormat="1" x14ac:dyDescent="0.2">
      <c r="A13" s="8">
        <v>17</v>
      </c>
      <c r="B13">
        <v>15</v>
      </c>
      <c r="C13">
        <v>2301</v>
      </c>
      <c r="D13">
        <v>0</v>
      </c>
      <c r="E13">
        <v>1500</v>
      </c>
      <c r="F13">
        <v>2735</v>
      </c>
      <c r="G13">
        <v>360</v>
      </c>
      <c r="H13">
        <v>13</v>
      </c>
      <c r="I13">
        <v>5</v>
      </c>
      <c r="J13">
        <v>3894</v>
      </c>
      <c r="K13">
        <v>4004</v>
      </c>
      <c r="L13">
        <v>6</v>
      </c>
      <c r="M13">
        <v>131</v>
      </c>
      <c r="N13" s="9"/>
      <c r="O13">
        <v>7207</v>
      </c>
      <c r="P13">
        <v>112</v>
      </c>
      <c r="Q13">
        <v>5680</v>
      </c>
      <c r="R13">
        <v>4004</v>
      </c>
      <c r="T13" s="10">
        <f t="shared" si="0"/>
        <v>4.4642857142857144E-2</v>
      </c>
      <c r="U13" s="10">
        <f t="shared" si="1"/>
        <v>0.68556338028169017</v>
      </c>
      <c r="V13" s="10">
        <f t="shared" si="2"/>
        <v>8.6666666666666663E-3</v>
      </c>
      <c r="W13" s="10">
        <f t="shared" si="3"/>
        <v>0.62050783960038847</v>
      </c>
      <c r="X13" s="10">
        <f t="shared" si="4"/>
        <v>0.84354628422425038</v>
      </c>
      <c r="Y13" s="10">
        <f t="shared" si="5"/>
        <v>22.4</v>
      </c>
      <c r="Z13" s="10">
        <f t="shared" si="6"/>
        <v>0.9553571428571429</v>
      </c>
      <c r="AA13" s="10">
        <f t="shared" si="7"/>
        <v>0.15645371577574968</v>
      </c>
    </row>
    <row r="14" spans="1:27" x14ac:dyDescent="0.2">
      <c r="A14">
        <v>18</v>
      </c>
      <c r="B14">
        <v>17</v>
      </c>
      <c r="C14">
        <v>2341</v>
      </c>
      <c r="D14">
        <v>0</v>
      </c>
      <c r="E14">
        <v>1466</v>
      </c>
      <c r="F14">
        <v>3465</v>
      </c>
      <c r="G14">
        <v>434</v>
      </c>
      <c r="H14">
        <v>12</v>
      </c>
      <c r="I14">
        <v>12</v>
      </c>
      <c r="J14">
        <v>27740</v>
      </c>
      <c r="K14">
        <v>14770</v>
      </c>
      <c r="L14">
        <v>4</v>
      </c>
      <c r="M14">
        <v>69</v>
      </c>
      <c r="O14">
        <v>7903</v>
      </c>
      <c r="P14">
        <v>66</v>
      </c>
      <c r="Q14">
        <v>39490</v>
      </c>
      <c r="R14">
        <v>29540</v>
      </c>
      <c r="T14" s="4">
        <f t="shared" si="0"/>
        <v>0.18181818181818182</v>
      </c>
      <c r="U14" s="4">
        <f t="shared" si="1"/>
        <v>0.70245631805520381</v>
      </c>
      <c r="V14" s="4">
        <f t="shared" si="2"/>
        <v>8.1855388813096858E-3</v>
      </c>
      <c r="W14" s="4">
        <f t="shared" si="3"/>
        <v>0.56155890168290523</v>
      </c>
      <c r="X14" s="4">
        <f t="shared" si="4"/>
        <v>0.81460914139256724</v>
      </c>
      <c r="Y14" s="4">
        <f t="shared" si="5"/>
        <v>5.5</v>
      </c>
      <c r="Z14" s="4">
        <f t="shared" si="6"/>
        <v>0.81818181818181812</v>
      </c>
      <c r="AA14" s="4">
        <f t="shared" si="7"/>
        <v>0.18539085860743273</v>
      </c>
    </row>
    <row r="15" spans="1:27" s="8" customFormat="1" x14ac:dyDescent="0.2">
      <c r="A15" s="8">
        <v>19</v>
      </c>
      <c r="B15">
        <v>2</v>
      </c>
      <c r="C15">
        <v>2462</v>
      </c>
      <c r="D15">
        <v>0</v>
      </c>
      <c r="E15">
        <v>1587</v>
      </c>
      <c r="F15">
        <v>4047</v>
      </c>
      <c r="G15">
        <v>390</v>
      </c>
      <c r="H15">
        <v>1585</v>
      </c>
      <c r="I15">
        <v>3</v>
      </c>
      <c r="J15">
        <v>27575</v>
      </c>
      <c r="K15">
        <v>14215</v>
      </c>
      <c r="L15">
        <v>12</v>
      </c>
      <c r="M15">
        <v>144</v>
      </c>
      <c r="N15" s="9"/>
      <c r="O15">
        <v>7858</v>
      </c>
      <c r="P15">
        <v>82</v>
      </c>
      <c r="Q15">
        <v>718199</v>
      </c>
      <c r="R15">
        <v>269724</v>
      </c>
      <c r="T15" s="10">
        <f t="shared" si="0"/>
        <v>3.6585365853658534E-2</v>
      </c>
      <c r="U15" s="10">
        <f t="shared" si="1"/>
        <v>3.8394651064677057E-2</v>
      </c>
      <c r="V15" s="10">
        <f t="shared" si="2"/>
        <v>0.99873976055450531</v>
      </c>
      <c r="W15" s="10">
        <f t="shared" si="3"/>
        <v>0.48498345635021634</v>
      </c>
      <c r="X15" s="10">
        <f t="shared" si="4"/>
        <v>0.8415922014622258</v>
      </c>
      <c r="Y15" s="10">
        <f t="shared" si="5"/>
        <v>27.333333333333332</v>
      </c>
      <c r="Z15" s="10">
        <f t="shared" si="6"/>
        <v>0.96341463414634143</v>
      </c>
      <c r="AA15" s="10">
        <f t="shared" si="7"/>
        <v>0.15840779853777417</v>
      </c>
    </row>
    <row r="16" spans="1:27" x14ac:dyDescent="0.2">
      <c r="A16">
        <v>20</v>
      </c>
      <c r="B16">
        <v>1</v>
      </c>
      <c r="C16">
        <v>2396</v>
      </c>
      <c r="D16">
        <v>0</v>
      </c>
      <c r="E16">
        <v>1659</v>
      </c>
      <c r="F16">
        <v>4</v>
      </c>
      <c r="G16">
        <v>2</v>
      </c>
      <c r="H16">
        <v>1658</v>
      </c>
      <c r="I16">
        <v>1</v>
      </c>
      <c r="J16">
        <v>1</v>
      </c>
      <c r="K16">
        <v>2</v>
      </c>
      <c r="L16">
        <v>5</v>
      </c>
      <c r="M16">
        <v>83</v>
      </c>
      <c r="O16">
        <v>6738</v>
      </c>
      <c r="P16">
        <v>89</v>
      </c>
      <c r="Q16">
        <v>1988</v>
      </c>
      <c r="R16">
        <v>880</v>
      </c>
      <c r="T16" s="4">
        <f t="shared" si="0"/>
        <v>1.1235955056179775E-2</v>
      </c>
      <c r="U16" s="4">
        <f t="shared" si="1"/>
        <v>5.0301810865191151E-4</v>
      </c>
      <c r="V16" s="4">
        <f t="shared" si="2"/>
        <v>0.99939722724532853</v>
      </c>
      <c r="W16" s="4">
        <f t="shared" si="3"/>
        <v>0.99940635203324424</v>
      </c>
      <c r="X16" s="4">
        <f t="shared" si="4"/>
        <v>0.9991652754590985</v>
      </c>
      <c r="Y16" s="4">
        <f t="shared" si="5"/>
        <v>89</v>
      </c>
      <c r="Z16" s="4">
        <f t="shared" si="6"/>
        <v>0.9887640449438202</v>
      </c>
      <c r="AA16" s="4">
        <f t="shared" si="7"/>
        <v>8.3472454090150253E-4</v>
      </c>
    </row>
    <row r="17" spans="1:27" s="8" customFormat="1" x14ac:dyDescent="0.2">
      <c r="A17" s="8">
        <v>21</v>
      </c>
      <c r="B17">
        <v>1</v>
      </c>
      <c r="C17">
        <v>3237</v>
      </c>
      <c r="D17">
        <v>0</v>
      </c>
      <c r="E17">
        <v>1473</v>
      </c>
      <c r="F17">
        <v>9337</v>
      </c>
      <c r="G17">
        <v>1755</v>
      </c>
      <c r="H17">
        <v>1472</v>
      </c>
      <c r="I17">
        <v>7</v>
      </c>
      <c r="J17">
        <v>2912</v>
      </c>
      <c r="K17">
        <v>1638</v>
      </c>
      <c r="L17">
        <v>8</v>
      </c>
      <c r="M17">
        <v>418</v>
      </c>
      <c r="N17" s="9"/>
      <c r="O17">
        <v>11477</v>
      </c>
      <c r="P17">
        <v>97</v>
      </c>
      <c r="Q17">
        <v>4142</v>
      </c>
      <c r="R17">
        <v>1638</v>
      </c>
      <c r="T17" s="10">
        <f t="shared" si="0"/>
        <v>7.2164948453608241E-2</v>
      </c>
      <c r="U17" s="10">
        <f t="shared" si="1"/>
        <v>0.70304200869145339</v>
      </c>
      <c r="V17" s="10">
        <f t="shared" si="2"/>
        <v>0.99932111337406648</v>
      </c>
      <c r="W17" s="10">
        <f t="shared" si="3"/>
        <v>0.1864598762742877</v>
      </c>
      <c r="X17" s="10">
        <f t="shared" si="4"/>
        <v>0.45783132530120479</v>
      </c>
      <c r="Y17" s="10">
        <f t="shared" si="5"/>
        <v>13.857142857142858</v>
      </c>
      <c r="Z17" s="10">
        <f t="shared" si="6"/>
        <v>0.92783505154639179</v>
      </c>
      <c r="AA17" s="10">
        <f t="shared" si="7"/>
        <v>0.54216867469879515</v>
      </c>
    </row>
    <row r="18" spans="1:27" x14ac:dyDescent="0.2">
      <c r="A18">
        <v>22</v>
      </c>
      <c r="B18">
        <v>1</v>
      </c>
      <c r="C18">
        <v>2396</v>
      </c>
      <c r="D18">
        <v>0</v>
      </c>
      <c r="E18">
        <v>1659</v>
      </c>
      <c r="F18">
        <v>115</v>
      </c>
      <c r="G18">
        <v>18</v>
      </c>
      <c r="H18">
        <v>1658</v>
      </c>
      <c r="I18">
        <v>0.1</v>
      </c>
      <c r="J18">
        <v>4</v>
      </c>
      <c r="K18">
        <v>2</v>
      </c>
      <c r="L18">
        <v>8</v>
      </c>
      <c r="M18">
        <v>91</v>
      </c>
      <c r="O18">
        <v>6705</v>
      </c>
      <c r="P18">
        <v>75</v>
      </c>
      <c r="Q18">
        <v>2243</v>
      </c>
      <c r="R18">
        <v>880</v>
      </c>
      <c r="T18" s="4">
        <f t="shared" si="0"/>
        <v>1.3333333333333335E-3</v>
      </c>
      <c r="U18" s="4">
        <f t="shared" si="1"/>
        <v>1.7833259028087382E-3</v>
      </c>
      <c r="V18" s="4">
        <f t="shared" si="2"/>
        <v>0.99939722724532853</v>
      </c>
      <c r="W18" s="4">
        <f t="shared" si="3"/>
        <v>0.98284862043251309</v>
      </c>
      <c r="X18" s="4">
        <f t="shared" si="4"/>
        <v>0.99248747913188651</v>
      </c>
      <c r="Y18" s="4">
        <f t="shared" si="5"/>
        <v>750</v>
      </c>
      <c r="Z18" s="4">
        <f t="shared" si="6"/>
        <v>0.9986666666666667</v>
      </c>
      <c r="AA18" s="4">
        <f t="shared" si="7"/>
        <v>7.5125208681135229E-3</v>
      </c>
    </row>
    <row r="19" spans="1:27" x14ac:dyDescent="0.2">
      <c r="A19">
        <v>23</v>
      </c>
      <c r="B19">
        <v>1</v>
      </c>
      <c r="C19">
        <v>2396</v>
      </c>
      <c r="D19">
        <v>0</v>
      </c>
      <c r="E19">
        <v>1659</v>
      </c>
      <c r="F19">
        <v>81</v>
      </c>
      <c r="G19">
        <v>18</v>
      </c>
      <c r="H19">
        <v>1658</v>
      </c>
      <c r="I19">
        <v>0.1</v>
      </c>
      <c r="J19">
        <v>5</v>
      </c>
      <c r="K19">
        <v>19</v>
      </c>
      <c r="L19">
        <v>10</v>
      </c>
      <c r="M19">
        <v>166</v>
      </c>
      <c r="O19">
        <v>6722</v>
      </c>
      <c r="P19">
        <v>80</v>
      </c>
      <c r="Q19">
        <v>19470</v>
      </c>
      <c r="R19">
        <v>8360</v>
      </c>
      <c r="T19" s="4">
        <f t="shared" si="0"/>
        <v>1.25E-3</v>
      </c>
      <c r="U19" s="4">
        <f t="shared" si="1"/>
        <v>2.5680534155110427E-4</v>
      </c>
      <c r="V19" s="4">
        <f t="shared" si="2"/>
        <v>0.99939722724532853</v>
      </c>
      <c r="W19" s="4">
        <f t="shared" si="3"/>
        <v>0.9879500148765249</v>
      </c>
      <c r="X19" s="4">
        <f t="shared" si="4"/>
        <v>0.99248747913188651</v>
      </c>
      <c r="Y19" s="4">
        <f t="shared" si="5"/>
        <v>800</v>
      </c>
      <c r="Z19" s="4">
        <f t="shared" si="6"/>
        <v>0.99875000000000003</v>
      </c>
      <c r="AA19" s="4">
        <f t="shared" si="7"/>
        <v>7.5125208681135229E-3</v>
      </c>
    </row>
    <row r="20" spans="1:27" s="8" customFormat="1" x14ac:dyDescent="0.2">
      <c r="A20" s="8">
        <v>24</v>
      </c>
      <c r="B20" s="8">
        <v>1</v>
      </c>
      <c r="C20" s="8">
        <v>2462</v>
      </c>
      <c r="D20" s="8">
        <v>0</v>
      </c>
      <c r="E20" s="8">
        <v>1587</v>
      </c>
      <c r="F20" s="8">
        <v>3023</v>
      </c>
      <c r="G20" s="8">
        <v>390</v>
      </c>
      <c r="H20" s="8">
        <v>1586</v>
      </c>
      <c r="I20" s="8">
        <v>2</v>
      </c>
      <c r="J20" s="8">
        <v>8425</v>
      </c>
      <c r="K20" s="8">
        <v>8340</v>
      </c>
      <c r="L20" s="8">
        <v>2</v>
      </c>
      <c r="M20" s="8">
        <v>41</v>
      </c>
      <c r="N20" s="9"/>
      <c r="O20" s="8">
        <v>7880</v>
      </c>
      <c r="P20" s="8">
        <v>90</v>
      </c>
      <c r="Q20" s="8">
        <v>12085</v>
      </c>
      <c r="R20" s="8">
        <v>8400</v>
      </c>
      <c r="T20" s="10">
        <f t="shared" si="0"/>
        <v>2.2222222222222223E-2</v>
      </c>
      <c r="U20" s="10">
        <f t="shared" si="1"/>
        <v>0.69714522134877943</v>
      </c>
      <c r="V20" s="10">
        <f t="shared" si="2"/>
        <v>0.99936988027725271</v>
      </c>
      <c r="W20" s="10">
        <f t="shared" si="3"/>
        <v>0.61637055837563448</v>
      </c>
      <c r="X20" s="10">
        <f t="shared" si="4"/>
        <v>0.8415922014622258</v>
      </c>
      <c r="Y20" s="10">
        <f t="shared" si="5"/>
        <v>45</v>
      </c>
      <c r="Z20" s="10">
        <f t="shared" si="6"/>
        <v>0.97777777777777775</v>
      </c>
      <c r="AA20" s="10">
        <f t="shared" si="7"/>
        <v>0.15840779853777417</v>
      </c>
    </row>
    <row r="21" spans="1:27" s="8" customFormat="1" x14ac:dyDescent="0.2">
      <c r="A21" s="8">
        <v>25</v>
      </c>
      <c r="B21" s="8">
        <v>2</v>
      </c>
      <c r="C21" s="8">
        <v>2428</v>
      </c>
      <c r="D21" s="8">
        <v>0</v>
      </c>
      <c r="E21" s="8">
        <v>1623</v>
      </c>
      <c r="F21" s="8">
        <v>2379</v>
      </c>
      <c r="G21" s="8">
        <v>320</v>
      </c>
      <c r="H21" s="8">
        <v>1621</v>
      </c>
      <c r="I21" s="8">
        <v>2</v>
      </c>
      <c r="J21" s="8">
        <v>3437</v>
      </c>
      <c r="K21" s="8">
        <v>5477</v>
      </c>
      <c r="L21" s="8">
        <v>4</v>
      </c>
      <c r="M21" s="8">
        <v>32</v>
      </c>
      <c r="N21" s="9"/>
      <c r="O21" s="8">
        <v>7211</v>
      </c>
      <c r="P21" s="8">
        <v>114</v>
      </c>
      <c r="Q21" s="8">
        <v>153559</v>
      </c>
      <c r="R21" s="8">
        <v>103740</v>
      </c>
      <c r="T21" s="10">
        <f t="shared" si="0"/>
        <v>1.7543859649122806E-2</v>
      </c>
      <c r="U21" s="10">
        <f t="shared" si="1"/>
        <v>2.2382276519122942E-2</v>
      </c>
      <c r="V21" s="10">
        <f t="shared" si="2"/>
        <v>0.99876771410967347</v>
      </c>
      <c r="W21" s="10">
        <f t="shared" si="3"/>
        <v>0.67008736652336709</v>
      </c>
      <c r="X21" s="10">
        <f t="shared" si="4"/>
        <v>0.86820428336079081</v>
      </c>
      <c r="Y21" s="10">
        <f t="shared" si="5"/>
        <v>57</v>
      </c>
      <c r="Z21" s="10">
        <f t="shared" si="6"/>
        <v>0.98245614035087714</v>
      </c>
      <c r="AA21" s="10">
        <f t="shared" si="7"/>
        <v>0.13179571663920922</v>
      </c>
    </row>
    <row r="22" spans="1:27" x14ac:dyDescent="0.2">
      <c r="A22">
        <v>26</v>
      </c>
      <c r="B22">
        <v>1</v>
      </c>
      <c r="C22">
        <v>2428</v>
      </c>
      <c r="D22">
        <v>0</v>
      </c>
      <c r="E22">
        <v>1623</v>
      </c>
      <c r="F22">
        <v>3409</v>
      </c>
      <c r="G22">
        <v>320</v>
      </c>
      <c r="H22">
        <v>1622</v>
      </c>
      <c r="I22">
        <v>5</v>
      </c>
      <c r="J22">
        <v>8574</v>
      </c>
      <c r="K22">
        <v>4818</v>
      </c>
      <c r="L22">
        <v>5</v>
      </c>
      <c r="M22">
        <v>127</v>
      </c>
      <c r="O22">
        <v>7282</v>
      </c>
      <c r="P22">
        <v>94</v>
      </c>
      <c r="Q22">
        <v>14877</v>
      </c>
      <c r="R22">
        <v>4818</v>
      </c>
      <c r="T22" s="4">
        <f t="shared" si="0"/>
        <v>5.3191489361702128E-2</v>
      </c>
      <c r="U22" s="4">
        <f t="shared" si="1"/>
        <v>0.57632587215164344</v>
      </c>
      <c r="V22" s="4">
        <f t="shared" si="2"/>
        <v>0.99938385705483668</v>
      </c>
      <c r="W22" s="4">
        <f t="shared" si="3"/>
        <v>0.53185937929140348</v>
      </c>
      <c r="X22" s="4">
        <f t="shared" si="4"/>
        <v>0.86820428336079081</v>
      </c>
      <c r="Y22" s="4">
        <f t="shared" si="5"/>
        <v>18.8</v>
      </c>
      <c r="Z22" s="4">
        <f t="shared" si="6"/>
        <v>0.94680851063829785</v>
      </c>
      <c r="AA22" s="4">
        <f t="shared" si="7"/>
        <v>0.13179571663920922</v>
      </c>
    </row>
    <row r="23" spans="1:27" x14ac:dyDescent="0.2">
      <c r="A23">
        <v>27</v>
      </c>
      <c r="B23">
        <v>16</v>
      </c>
      <c r="C23">
        <v>2275</v>
      </c>
      <c r="D23">
        <v>0</v>
      </c>
      <c r="E23">
        <v>1534</v>
      </c>
      <c r="F23">
        <v>3193</v>
      </c>
      <c r="G23">
        <v>300</v>
      </c>
      <c r="H23">
        <v>13</v>
      </c>
      <c r="I23">
        <v>60</v>
      </c>
      <c r="J23">
        <v>3419</v>
      </c>
      <c r="K23">
        <v>1462</v>
      </c>
      <c r="L23">
        <v>14</v>
      </c>
      <c r="M23">
        <v>129</v>
      </c>
      <c r="O23">
        <v>6717</v>
      </c>
      <c r="P23">
        <v>81</v>
      </c>
      <c r="Q23">
        <v>89974</v>
      </c>
      <c r="R23">
        <v>48620</v>
      </c>
      <c r="T23" s="4">
        <f t="shared" si="0"/>
        <v>0.7407407407407407</v>
      </c>
      <c r="U23" s="4">
        <f t="shared" si="1"/>
        <v>3.7999866628137015E-2</v>
      </c>
      <c r="V23" s="4">
        <f t="shared" si="2"/>
        <v>8.4745762711864406E-3</v>
      </c>
      <c r="W23" s="4">
        <f t="shared" si="3"/>
        <v>0.52463897573321427</v>
      </c>
      <c r="X23" s="4">
        <f t="shared" si="4"/>
        <v>0.86813186813186816</v>
      </c>
      <c r="Y23" s="4">
        <f t="shared" si="5"/>
        <v>1.35</v>
      </c>
      <c r="Z23" s="4">
        <f t="shared" si="6"/>
        <v>0.2592592592592593</v>
      </c>
      <c r="AA23" s="4">
        <f t="shared" si="7"/>
        <v>0.13186813186813187</v>
      </c>
    </row>
    <row r="24" spans="1:27" x14ac:dyDescent="0.2">
      <c r="A24">
        <v>29</v>
      </c>
      <c r="B24">
        <v>1</v>
      </c>
      <c r="C24">
        <v>3040</v>
      </c>
      <c r="D24">
        <v>0</v>
      </c>
      <c r="E24">
        <v>1507</v>
      </c>
      <c r="F24">
        <v>9794</v>
      </c>
      <c r="G24">
        <v>1524</v>
      </c>
      <c r="H24">
        <v>1506</v>
      </c>
      <c r="I24">
        <v>6</v>
      </c>
      <c r="J24">
        <v>1681</v>
      </c>
      <c r="K24">
        <v>440</v>
      </c>
      <c r="L24">
        <v>5</v>
      </c>
      <c r="M24">
        <v>422</v>
      </c>
      <c r="O24">
        <v>9857</v>
      </c>
      <c r="P24">
        <v>121</v>
      </c>
      <c r="Q24">
        <v>2090</v>
      </c>
      <c r="R24">
        <v>440</v>
      </c>
      <c r="T24" s="4">
        <f t="shared" si="0"/>
        <v>4.9586776859504134E-2</v>
      </c>
      <c r="U24" s="4">
        <f t="shared" si="1"/>
        <v>0.80430622009569375</v>
      </c>
      <c r="V24" s="4">
        <f t="shared" si="2"/>
        <v>0.99933642999336425</v>
      </c>
      <c r="W24" s="4">
        <f t="shared" si="3"/>
        <v>6.3913969767677792E-3</v>
      </c>
      <c r="X24" s="4">
        <f t="shared" si="4"/>
        <v>0.49868421052631579</v>
      </c>
      <c r="Y24" s="4">
        <f t="shared" si="5"/>
        <v>20.166666666666668</v>
      </c>
      <c r="Z24" s="4">
        <f t="shared" si="6"/>
        <v>0.95041322314049581</v>
      </c>
      <c r="AA24" s="4">
        <f t="shared" si="7"/>
        <v>0.50131578947368416</v>
      </c>
    </row>
    <row r="25" spans="1:27" x14ac:dyDescent="0.2">
      <c r="A25" s="5" t="s">
        <v>11</v>
      </c>
      <c r="B25" s="5">
        <v>20</v>
      </c>
      <c r="C25" s="5">
        <v>2396</v>
      </c>
      <c r="D25" s="5">
        <v>0</v>
      </c>
      <c r="E25" s="5">
        <v>1659</v>
      </c>
      <c r="F25" s="5">
        <v>2622</v>
      </c>
      <c r="G25" s="5">
        <v>252</v>
      </c>
      <c r="H25" s="5">
        <v>1639</v>
      </c>
      <c r="I25" s="5">
        <v>51</v>
      </c>
      <c r="J25" s="5">
        <v>665</v>
      </c>
      <c r="K25" s="5">
        <v>457</v>
      </c>
      <c r="L25" s="5">
        <v>19</v>
      </c>
      <c r="M25" s="5">
        <v>148</v>
      </c>
      <c r="O25" s="6"/>
      <c r="P25" s="6"/>
      <c r="Q25" s="6"/>
      <c r="R25" s="6"/>
      <c r="V25" s="4"/>
      <c r="X25" s="4"/>
      <c r="Y25" t="s">
        <v>25</v>
      </c>
    </row>
    <row r="26" spans="1:27" x14ac:dyDescent="0.2">
      <c r="Y26" s="4"/>
    </row>
    <row r="27" spans="1:27" x14ac:dyDescent="0.2">
      <c r="A27" t="s">
        <v>14</v>
      </c>
      <c r="B27">
        <f t="shared" ref="B27:M27" si="8">AVERAGE(B2:B24)</f>
        <v>4.3478260869565215</v>
      </c>
      <c r="C27">
        <f t="shared" si="8"/>
        <v>2548.782608695652</v>
      </c>
      <c r="D27">
        <f t="shared" si="8"/>
        <v>0</v>
      </c>
      <c r="E27">
        <f t="shared" si="8"/>
        <v>1556.9565217391305</v>
      </c>
      <c r="F27">
        <f t="shared" si="8"/>
        <v>3888.217391304348</v>
      </c>
      <c r="G27">
        <f t="shared" si="8"/>
        <v>557.78260869565213</v>
      </c>
      <c r="H27">
        <f t="shared" si="8"/>
        <v>1163.9130434782608</v>
      </c>
      <c r="I27">
        <f t="shared" si="8"/>
        <v>8.5304347826086957</v>
      </c>
      <c r="J27">
        <f t="shared" si="8"/>
        <v>86162.173913043473</v>
      </c>
      <c r="K27">
        <f t="shared" si="8"/>
        <v>18252.82608695652</v>
      </c>
      <c r="L27">
        <f t="shared" si="8"/>
        <v>5.9565217391304346</v>
      </c>
      <c r="M27">
        <f t="shared" si="8"/>
        <v>149.47826086956522</v>
      </c>
      <c r="O27">
        <f>AVERAGE(O2:O24)</f>
        <v>8101.954545454545</v>
      </c>
      <c r="P27">
        <f>AVERAGE(P2:P24)</f>
        <v>87.13636363636364</v>
      </c>
      <c r="Q27">
        <f>AVERAGE(Q2:Q24)</f>
        <v>136081.54545454544</v>
      </c>
      <c r="R27">
        <f>AVERAGE(R2:R24)</f>
        <v>37010.36363636364</v>
      </c>
      <c r="T27" s="4">
        <f t="shared" ref="T27:AA27" si="9">AVERAGE(T2:T24)</f>
        <v>0.10779136985510483</v>
      </c>
      <c r="U27" s="4">
        <f t="shared" si="9"/>
        <v>0.42927899339987746</v>
      </c>
      <c r="V27" s="4">
        <f t="shared" si="9"/>
        <v>0.77407738771000334</v>
      </c>
      <c r="W27" s="4">
        <f t="shared" si="9"/>
        <v>0.58399272333112351</v>
      </c>
      <c r="X27" s="4">
        <f t="shared" si="9"/>
        <v>0.80585217626240535</v>
      </c>
      <c r="Y27" s="7">
        <f t="shared" si="9"/>
        <v>92.573320158102746</v>
      </c>
      <c r="Z27" s="4">
        <f t="shared" si="9"/>
        <v>0.89689521144294326</v>
      </c>
      <c r="AA27" s="4">
        <f t="shared" si="9"/>
        <v>0.19414782373759473</v>
      </c>
    </row>
    <row r="28" spans="1:27" x14ac:dyDescent="0.2">
      <c r="A28" s="11" t="s">
        <v>13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</sheetData>
  <mergeCells count="1">
    <mergeCell ref="A28:M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2" sqref="B2:B24"/>
    </sheetView>
  </sheetViews>
  <sheetFormatPr baseColWidth="10" defaultRowHeight="16" x14ac:dyDescent="0.2"/>
  <sheetData>
    <row r="1" spans="1:2" x14ac:dyDescent="0.2">
      <c r="A1" s="1" t="s">
        <v>7</v>
      </c>
      <c r="B1" s="1" t="s">
        <v>7</v>
      </c>
    </row>
    <row r="2" spans="1:2" x14ac:dyDescent="0.2">
      <c r="A2">
        <v>2049</v>
      </c>
      <c r="B2">
        <v>4540</v>
      </c>
    </row>
    <row r="3" spans="1:2" x14ac:dyDescent="0.2">
      <c r="A3">
        <v>4552</v>
      </c>
      <c r="B3">
        <v>5621</v>
      </c>
    </row>
    <row r="4" spans="1:2" x14ac:dyDescent="0.2">
      <c r="A4">
        <v>12465</v>
      </c>
      <c r="B4">
        <v>10382</v>
      </c>
    </row>
    <row r="5" spans="1:2" x14ac:dyDescent="0.2">
      <c r="A5">
        <v>4345</v>
      </c>
      <c r="B5">
        <v>6659</v>
      </c>
    </row>
    <row r="6" spans="1:2" x14ac:dyDescent="0.2">
      <c r="A6">
        <v>1848</v>
      </c>
      <c r="B6">
        <v>72680</v>
      </c>
    </row>
    <row r="7" spans="1:2" x14ac:dyDescent="0.2">
      <c r="A7">
        <v>1577631</v>
      </c>
      <c r="B7">
        <v>1807638</v>
      </c>
    </row>
    <row r="8" spans="1:2" x14ac:dyDescent="0.2">
      <c r="A8">
        <v>27821</v>
      </c>
      <c r="B8">
        <v>33228</v>
      </c>
    </row>
    <row r="9" spans="1:2" x14ac:dyDescent="0.2">
      <c r="A9">
        <v>25920</v>
      </c>
      <c r="B9">
        <v>21758</v>
      </c>
    </row>
    <row r="10" spans="1:2" x14ac:dyDescent="0.2">
      <c r="A10">
        <v>3</v>
      </c>
      <c r="B10">
        <v>1245</v>
      </c>
    </row>
    <row r="11" spans="1:2" x14ac:dyDescent="0.2">
      <c r="A11">
        <v>14867</v>
      </c>
      <c r="B11">
        <v>14254</v>
      </c>
    </row>
    <row r="12" spans="1:2" x14ac:dyDescent="0.2">
      <c r="A12">
        <v>41094</v>
      </c>
      <c r="B12">
        <v>35129</v>
      </c>
    </row>
    <row r="13" spans="1:2" x14ac:dyDescent="0.2">
      <c r="A13">
        <v>28651</v>
      </c>
      <c r="B13">
        <v>22330</v>
      </c>
    </row>
    <row r="14" spans="1:2" x14ac:dyDescent="0.2">
      <c r="A14">
        <v>43989</v>
      </c>
      <c r="B14">
        <v>64806</v>
      </c>
    </row>
    <row r="15" spans="1:2" x14ac:dyDescent="0.2">
      <c r="A15">
        <v>13143</v>
      </c>
      <c r="B15">
        <v>13141</v>
      </c>
    </row>
    <row r="16" spans="1:2" x14ac:dyDescent="0.2">
      <c r="A16">
        <v>1</v>
      </c>
      <c r="B16">
        <v>1988</v>
      </c>
    </row>
    <row r="17" spans="1:2" x14ac:dyDescent="0.2">
      <c r="A17">
        <v>7901</v>
      </c>
      <c r="B17">
        <v>5936</v>
      </c>
    </row>
    <row r="18" spans="1:2" x14ac:dyDescent="0.2">
      <c r="A18">
        <v>4</v>
      </c>
      <c r="B18">
        <v>2243</v>
      </c>
    </row>
    <row r="19" spans="1:2" x14ac:dyDescent="0.2">
      <c r="A19">
        <v>5</v>
      </c>
      <c r="B19">
        <v>19470</v>
      </c>
    </row>
    <row r="20" spans="1:2" x14ac:dyDescent="0.2">
      <c r="A20">
        <v>21442</v>
      </c>
      <c r="B20">
        <v>13984</v>
      </c>
    </row>
    <row r="21" spans="1:2" x14ac:dyDescent="0.2">
      <c r="A21">
        <v>215831</v>
      </c>
      <c r="B21">
        <v>105077</v>
      </c>
    </row>
    <row r="22" spans="1:2" x14ac:dyDescent="0.2">
      <c r="A22">
        <v>8574</v>
      </c>
      <c r="B22">
        <v>14877</v>
      </c>
    </row>
    <row r="23" spans="1:2" x14ac:dyDescent="0.2">
      <c r="A23">
        <v>3419</v>
      </c>
      <c r="B23">
        <v>89974</v>
      </c>
    </row>
    <row r="24" spans="1:2" x14ac:dyDescent="0.2">
      <c r="A24">
        <v>1681</v>
      </c>
      <c r="B24">
        <v>2090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sqref="A1:XFD1"/>
    </sheetView>
  </sheetViews>
  <sheetFormatPr baseColWidth="10" defaultRowHeight="16" x14ac:dyDescent="0.2"/>
  <cols>
    <col min="1" max="1" width="9.83203125" bestFit="1" customWidth="1"/>
    <col min="2" max="2" width="13.5" bestFit="1" customWidth="1"/>
    <col min="3" max="3" width="10.6640625" bestFit="1" customWidth="1"/>
    <col min="4" max="4" width="13.1640625" bestFit="1" customWidth="1"/>
    <col min="5" max="5" width="7" bestFit="1" customWidth="1"/>
    <col min="6" max="6" width="13.5" bestFit="1" customWidth="1"/>
    <col min="7" max="7" width="12" bestFit="1" customWidth="1"/>
    <col min="8" max="8" width="13.33203125" bestFit="1" customWidth="1"/>
    <col min="9" max="9" width="11.1640625" bestFit="1" customWidth="1"/>
    <col min="10" max="10" width="13" bestFit="1" customWidth="1"/>
    <col min="11" max="11" width="8.83203125" bestFit="1" customWidth="1"/>
    <col min="12" max="12" width="9" bestFit="1" customWidth="1"/>
    <col min="13" max="13" width="13" bestFit="1" customWidth="1"/>
    <col min="14" max="14" width="3.5" style="3" customWidth="1"/>
    <col min="15" max="15" width="10.5" bestFit="1" customWidth="1"/>
    <col min="16" max="16" width="11.1640625" bestFit="1" customWidth="1"/>
    <col min="17" max="17" width="13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8</v>
      </c>
      <c r="M1" s="1" t="s">
        <v>9</v>
      </c>
      <c r="O1" s="1" t="s">
        <v>12</v>
      </c>
      <c r="P1" s="1" t="s">
        <v>6</v>
      </c>
      <c r="Q1" s="1" t="s">
        <v>7</v>
      </c>
      <c r="R1" s="1" t="s">
        <v>10</v>
      </c>
    </row>
    <row r="2" spans="1:18" x14ac:dyDescent="0.2">
      <c r="A2">
        <v>0</v>
      </c>
      <c r="B2">
        <v>1</v>
      </c>
      <c r="C2">
        <v>2428</v>
      </c>
      <c r="D2">
        <v>7309</v>
      </c>
      <c r="E2">
        <v>1623</v>
      </c>
      <c r="F2">
        <v>3464</v>
      </c>
      <c r="G2">
        <v>320</v>
      </c>
      <c r="H2">
        <v>1622</v>
      </c>
      <c r="I2">
        <v>14</v>
      </c>
      <c r="J2">
        <v>2049</v>
      </c>
      <c r="K2">
        <v>1300</v>
      </c>
      <c r="L2">
        <v>5</v>
      </c>
      <c r="M2">
        <v>122</v>
      </c>
      <c r="O2">
        <v>7309</v>
      </c>
      <c r="P2">
        <v>58</v>
      </c>
      <c r="Q2">
        <v>4540</v>
      </c>
      <c r="R2">
        <v>1300</v>
      </c>
    </row>
    <row r="3" spans="1:18" x14ac:dyDescent="0.2">
      <c r="A3">
        <v>1</v>
      </c>
      <c r="B3">
        <v>1</v>
      </c>
      <c r="C3">
        <v>2428</v>
      </c>
      <c r="D3">
        <v>7306</v>
      </c>
      <c r="E3">
        <v>1623</v>
      </c>
      <c r="F3">
        <v>3449</v>
      </c>
      <c r="G3">
        <v>320</v>
      </c>
      <c r="H3">
        <v>1622</v>
      </c>
      <c r="I3">
        <v>2</v>
      </c>
      <c r="J3">
        <v>4552</v>
      </c>
      <c r="K3">
        <v>2310</v>
      </c>
      <c r="L3">
        <v>5</v>
      </c>
      <c r="M3">
        <v>128</v>
      </c>
      <c r="O3">
        <v>7306</v>
      </c>
      <c r="P3">
        <v>106</v>
      </c>
      <c r="Q3">
        <v>5621</v>
      </c>
      <c r="R3">
        <v>2310</v>
      </c>
    </row>
    <row r="4" spans="1:18" x14ac:dyDescent="0.2">
      <c r="A4">
        <v>2</v>
      </c>
      <c r="B4">
        <v>15</v>
      </c>
      <c r="C4">
        <v>2307</v>
      </c>
      <c r="D4">
        <v>7280</v>
      </c>
      <c r="E4">
        <v>1500</v>
      </c>
      <c r="F4">
        <v>3987</v>
      </c>
      <c r="G4">
        <v>366</v>
      </c>
      <c r="H4">
        <v>13</v>
      </c>
      <c r="I4">
        <v>32</v>
      </c>
      <c r="J4">
        <v>12465</v>
      </c>
      <c r="K4">
        <v>4746</v>
      </c>
      <c r="L4">
        <v>10</v>
      </c>
      <c r="M4">
        <v>144</v>
      </c>
      <c r="O4">
        <v>7280</v>
      </c>
      <c r="P4">
        <v>76</v>
      </c>
      <c r="Q4">
        <v>10382</v>
      </c>
      <c r="R4">
        <v>4732</v>
      </c>
    </row>
    <row r="5" spans="1:18" x14ac:dyDescent="0.2">
      <c r="A5">
        <v>3</v>
      </c>
      <c r="B5">
        <v>1</v>
      </c>
      <c r="C5">
        <v>2428</v>
      </c>
      <c r="D5">
        <v>7291</v>
      </c>
      <c r="E5">
        <v>1623</v>
      </c>
      <c r="F5">
        <v>3431</v>
      </c>
      <c r="G5">
        <v>320</v>
      </c>
      <c r="H5">
        <v>1622</v>
      </c>
      <c r="I5">
        <v>2</v>
      </c>
      <c r="J5">
        <v>4345</v>
      </c>
      <c r="K5">
        <v>2730</v>
      </c>
      <c r="L5">
        <v>5</v>
      </c>
      <c r="M5">
        <v>118</v>
      </c>
      <c r="O5">
        <v>7291</v>
      </c>
      <c r="P5">
        <v>89</v>
      </c>
      <c r="Q5">
        <v>6659</v>
      </c>
      <c r="R5">
        <v>2730</v>
      </c>
    </row>
    <row r="6" spans="1:18" x14ac:dyDescent="0.2">
      <c r="A6">
        <v>4</v>
      </c>
      <c r="B6">
        <v>16</v>
      </c>
      <c r="C6">
        <v>2275</v>
      </c>
      <c r="D6">
        <v>6687</v>
      </c>
      <c r="E6">
        <v>1534</v>
      </c>
      <c r="F6">
        <v>3193</v>
      </c>
      <c r="G6">
        <v>300</v>
      </c>
      <c r="H6">
        <v>12</v>
      </c>
      <c r="I6">
        <v>33</v>
      </c>
      <c r="J6">
        <v>1848</v>
      </c>
      <c r="K6">
        <v>1461</v>
      </c>
      <c r="L6">
        <v>5</v>
      </c>
      <c r="M6">
        <v>91</v>
      </c>
      <c r="O6">
        <v>6687</v>
      </c>
      <c r="P6">
        <v>79</v>
      </c>
      <c r="Q6">
        <v>72680</v>
      </c>
      <c r="R6">
        <v>24310</v>
      </c>
    </row>
    <row r="7" spans="1:18" x14ac:dyDescent="0.2">
      <c r="A7">
        <v>5</v>
      </c>
      <c r="B7">
        <v>6</v>
      </c>
      <c r="C7">
        <v>2419</v>
      </c>
      <c r="D7" s="2">
        <v>6986</v>
      </c>
      <c r="E7">
        <v>1615</v>
      </c>
      <c r="F7">
        <v>3344</v>
      </c>
      <c r="G7">
        <v>315</v>
      </c>
      <c r="H7">
        <v>1609</v>
      </c>
      <c r="I7">
        <v>4</v>
      </c>
      <c r="J7">
        <v>654778</v>
      </c>
      <c r="K7">
        <v>422420</v>
      </c>
      <c r="L7">
        <v>5</v>
      </c>
      <c r="M7">
        <v>143</v>
      </c>
      <c r="O7" s="2">
        <v>6986</v>
      </c>
      <c r="P7" s="2"/>
      <c r="Q7" s="2"/>
      <c r="R7" s="2"/>
    </row>
    <row r="8" spans="1:18" x14ac:dyDescent="0.2">
      <c r="A8">
        <v>6</v>
      </c>
      <c r="B8">
        <v>1</v>
      </c>
      <c r="C8">
        <v>3687</v>
      </c>
      <c r="D8">
        <v>14778</v>
      </c>
      <c r="E8">
        <v>1291</v>
      </c>
      <c r="F8">
        <v>15973</v>
      </c>
      <c r="G8">
        <v>2387</v>
      </c>
      <c r="H8">
        <v>1290</v>
      </c>
      <c r="I8">
        <v>6</v>
      </c>
      <c r="J8">
        <v>1577631</v>
      </c>
      <c r="K8">
        <v>278096</v>
      </c>
      <c r="L8">
        <v>7</v>
      </c>
      <c r="M8">
        <v>615</v>
      </c>
      <c r="O8">
        <v>14778</v>
      </c>
      <c r="P8">
        <v>118</v>
      </c>
      <c r="Q8">
        <v>1807638</v>
      </c>
      <c r="R8">
        <v>278096</v>
      </c>
    </row>
    <row r="9" spans="1:18" s="2" customFormat="1" x14ac:dyDescent="0.2">
      <c r="A9" s="2">
        <v>7</v>
      </c>
      <c r="B9" s="2">
        <v>1</v>
      </c>
      <c r="D9" s="2">
        <v>9931</v>
      </c>
      <c r="N9" s="3"/>
      <c r="O9" s="2">
        <v>9931</v>
      </c>
    </row>
    <row r="10" spans="1:18" x14ac:dyDescent="0.2">
      <c r="A10">
        <v>8</v>
      </c>
      <c r="B10">
        <v>17</v>
      </c>
      <c r="C10">
        <v>2307</v>
      </c>
      <c r="D10" s="2">
        <v>7221</v>
      </c>
      <c r="E10">
        <v>1457</v>
      </c>
      <c r="F10">
        <v>4007</v>
      </c>
      <c r="G10">
        <v>366</v>
      </c>
      <c r="H10">
        <v>12</v>
      </c>
      <c r="I10">
        <v>28</v>
      </c>
      <c r="J10">
        <v>10499178</v>
      </c>
      <c r="K10">
        <v>251670</v>
      </c>
      <c r="L10">
        <v>5</v>
      </c>
      <c r="M10">
        <v>149</v>
      </c>
      <c r="O10" s="2">
        <v>7221</v>
      </c>
      <c r="P10" s="2"/>
      <c r="Q10" s="2"/>
      <c r="R10" s="2"/>
    </row>
    <row r="11" spans="1:18" x14ac:dyDescent="0.2">
      <c r="A11">
        <v>9</v>
      </c>
      <c r="B11">
        <v>1</v>
      </c>
      <c r="C11">
        <v>2452</v>
      </c>
      <c r="D11" s="2">
        <v>7566</v>
      </c>
      <c r="E11">
        <v>1575</v>
      </c>
      <c r="F11">
        <v>4203</v>
      </c>
      <c r="G11">
        <v>384</v>
      </c>
      <c r="H11">
        <v>1574</v>
      </c>
      <c r="I11">
        <v>19</v>
      </c>
      <c r="J11">
        <v>713212</v>
      </c>
      <c r="K11">
        <v>251636</v>
      </c>
      <c r="L11">
        <v>5</v>
      </c>
      <c r="M11">
        <v>164</v>
      </c>
      <c r="O11" s="2">
        <v>7566</v>
      </c>
      <c r="P11" s="2"/>
      <c r="Q11" s="2"/>
      <c r="R11" s="2"/>
    </row>
    <row r="12" spans="1:18" x14ac:dyDescent="0.2">
      <c r="A12">
        <v>10</v>
      </c>
      <c r="B12">
        <v>1</v>
      </c>
      <c r="C12">
        <v>2462</v>
      </c>
      <c r="D12">
        <v>7858</v>
      </c>
      <c r="E12">
        <v>1587</v>
      </c>
      <c r="F12">
        <v>4252</v>
      </c>
      <c r="G12">
        <v>390</v>
      </c>
      <c r="H12">
        <v>1586</v>
      </c>
      <c r="I12">
        <v>3</v>
      </c>
      <c r="J12">
        <v>27821</v>
      </c>
      <c r="K12">
        <v>14274</v>
      </c>
      <c r="L12">
        <v>6</v>
      </c>
      <c r="M12">
        <v>161</v>
      </c>
      <c r="O12">
        <v>7858</v>
      </c>
      <c r="P12">
        <v>91</v>
      </c>
      <c r="Q12">
        <v>33228</v>
      </c>
      <c r="R12">
        <v>14274</v>
      </c>
    </row>
    <row r="13" spans="1:18" x14ac:dyDescent="0.2">
      <c r="A13">
        <v>11</v>
      </c>
      <c r="B13">
        <v>1</v>
      </c>
      <c r="C13">
        <v>2462</v>
      </c>
      <c r="D13">
        <v>7918</v>
      </c>
      <c r="E13">
        <v>1587</v>
      </c>
      <c r="F13">
        <v>4363</v>
      </c>
      <c r="G13">
        <v>390</v>
      </c>
      <c r="H13">
        <v>1586</v>
      </c>
      <c r="I13">
        <v>8</v>
      </c>
      <c r="J13">
        <v>25920</v>
      </c>
      <c r="K13">
        <v>8400</v>
      </c>
      <c r="L13">
        <v>6</v>
      </c>
      <c r="M13">
        <v>210</v>
      </c>
      <c r="O13">
        <v>7918</v>
      </c>
      <c r="P13">
        <v>66</v>
      </c>
      <c r="Q13">
        <v>21758</v>
      </c>
      <c r="R13">
        <v>8400</v>
      </c>
    </row>
    <row r="14" spans="1:18" x14ac:dyDescent="0.2">
      <c r="A14">
        <v>12</v>
      </c>
      <c r="B14">
        <v>22</v>
      </c>
      <c r="C14">
        <v>2307</v>
      </c>
      <c r="D14" s="2">
        <v>7245</v>
      </c>
      <c r="E14">
        <v>1463</v>
      </c>
      <c r="F14">
        <v>3995</v>
      </c>
      <c r="G14">
        <v>366</v>
      </c>
      <c r="H14">
        <v>12</v>
      </c>
      <c r="I14">
        <v>32</v>
      </c>
      <c r="J14">
        <v>41703819</v>
      </c>
      <c r="K14">
        <v>7637031</v>
      </c>
      <c r="L14">
        <v>5</v>
      </c>
      <c r="M14">
        <v>133</v>
      </c>
      <c r="O14" s="2">
        <v>7245</v>
      </c>
      <c r="P14" s="2"/>
      <c r="Q14" s="2"/>
      <c r="R14" s="2"/>
    </row>
    <row r="15" spans="1:18" x14ac:dyDescent="0.2">
      <c r="A15">
        <v>13</v>
      </c>
      <c r="B15">
        <v>1</v>
      </c>
      <c r="C15">
        <v>2396</v>
      </c>
      <c r="D15">
        <v>6708</v>
      </c>
      <c r="E15">
        <v>1659</v>
      </c>
      <c r="F15">
        <v>118</v>
      </c>
      <c r="G15">
        <v>18</v>
      </c>
      <c r="H15">
        <v>1658</v>
      </c>
      <c r="I15">
        <v>1</v>
      </c>
      <c r="J15">
        <v>3</v>
      </c>
      <c r="K15">
        <v>1</v>
      </c>
      <c r="L15">
        <v>4</v>
      </c>
      <c r="M15">
        <v>90</v>
      </c>
      <c r="O15">
        <v>6708</v>
      </c>
      <c r="P15">
        <v>96</v>
      </c>
      <c r="Q15">
        <v>1245</v>
      </c>
      <c r="R15">
        <v>440</v>
      </c>
    </row>
    <row r="16" spans="1:18" x14ac:dyDescent="0.2">
      <c r="A16">
        <v>14</v>
      </c>
      <c r="B16">
        <v>1</v>
      </c>
      <c r="C16">
        <v>3278</v>
      </c>
      <c r="D16">
        <v>13201</v>
      </c>
      <c r="E16">
        <v>1355</v>
      </c>
      <c r="F16">
        <v>13732</v>
      </c>
      <c r="G16">
        <v>1914</v>
      </c>
      <c r="H16">
        <v>1354</v>
      </c>
      <c r="I16">
        <v>5</v>
      </c>
      <c r="J16">
        <v>14867</v>
      </c>
      <c r="K16">
        <v>2814</v>
      </c>
      <c r="L16">
        <v>7</v>
      </c>
      <c r="M16">
        <v>592</v>
      </c>
      <c r="O16">
        <v>13201</v>
      </c>
      <c r="P16">
        <v>118</v>
      </c>
      <c r="Q16">
        <v>14254</v>
      </c>
      <c r="R16">
        <v>2814</v>
      </c>
    </row>
    <row r="17" spans="1:18" x14ac:dyDescent="0.2">
      <c r="A17">
        <v>15</v>
      </c>
      <c r="B17">
        <v>1</v>
      </c>
      <c r="C17">
        <v>2462</v>
      </c>
      <c r="D17">
        <v>7897</v>
      </c>
      <c r="E17">
        <v>1587</v>
      </c>
      <c r="F17">
        <v>4311</v>
      </c>
      <c r="G17">
        <v>390</v>
      </c>
      <c r="H17">
        <v>1586</v>
      </c>
      <c r="I17">
        <v>5</v>
      </c>
      <c r="J17">
        <v>41094</v>
      </c>
      <c r="K17">
        <v>14196</v>
      </c>
      <c r="L17">
        <v>6</v>
      </c>
      <c r="M17">
        <v>162</v>
      </c>
      <c r="O17">
        <v>7897</v>
      </c>
      <c r="P17">
        <v>107</v>
      </c>
      <c r="Q17">
        <v>35129</v>
      </c>
      <c r="R17">
        <v>14196</v>
      </c>
    </row>
    <row r="18" spans="1:18" x14ac:dyDescent="0.2">
      <c r="A18">
        <v>16</v>
      </c>
      <c r="B18">
        <v>6</v>
      </c>
      <c r="C18">
        <v>2428</v>
      </c>
      <c r="D18" s="2">
        <v>7253</v>
      </c>
      <c r="E18">
        <v>1584</v>
      </c>
      <c r="F18">
        <v>3439</v>
      </c>
      <c r="G18">
        <v>320</v>
      </c>
      <c r="H18">
        <v>1578</v>
      </c>
      <c r="I18">
        <v>4</v>
      </c>
      <c r="J18">
        <v>1031015</v>
      </c>
      <c r="K18">
        <v>714260</v>
      </c>
      <c r="L18">
        <v>5</v>
      </c>
      <c r="M18">
        <v>117</v>
      </c>
      <c r="O18" s="2">
        <v>7253</v>
      </c>
      <c r="P18" s="2"/>
      <c r="Q18" s="2"/>
      <c r="R18" s="2"/>
    </row>
    <row r="19" spans="1:18" x14ac:dyDescent="0.2">
      <c r="A19">
        <v>17</v>
      </c>
      <c r="B19">
        <v>14</v>
      </c>
      <c r="C19">
        <v>2323</v>
      </c>
      <c r="D19">
        <v>7492</v>
      </c>
      <c r="E19">
        <v>1496</v>
      </c>
      <c r="F19">
        <v>4587</v>
      </c>
      <c r="G19">
        <v>420</v>
      </c>
      <c r="H19">
        <v>12</v>
      </c>
      <c r="I19">
        <v>36</v>
      </c>
      <c r="J19">
        <v>28651</v>
      </c>
      <c r="K19">
        <v>10023</v>
      </c>
      <c r="L19">
        <v>6</v>
      </c>
      <c r="M19">
        <v>201</v>
      </c>
      <c r="O19">
        <v>7492</v>
      </c>
      <c r="P19">
        <v>94</v>
      </c>
      <c r="Q19">
        <v>22330</v>
      </c>
      <c r="R19">
        <v>10010</v>
      </c>
    </row>
    <row r="20" spans="1:18" x14ac:dyDescent="0.2">
      <c r="A20">
        <v>18</v>
      </c>
      <c r="B20">
        <v>17</v>
      </c>
      <c r="C20">
        <v>2341</v>
      </c>
      <c r="D20">
        <v>7903</v>
      </c>
      <c r="E20">
        <v>1466</v>
      </c>
      <c r="F20">
        <v>4915</v>
      </c>
      <c r="G20">
        <v>434</v>
      </c>
      <c r="H20">
        <v>12</v>
      </c>
      <c r="I20">
        <v>33</v>
      </c>
      <c r="J20">
        <v>43989</v>
      </c>
      <c r="K20">
        <v>14787</v>
      </c>
      <c r="L20">
        <v>4</v>
      </c>
      <c r="M20">
        <v>187</v>
      </c>
      <c r="O20">
        <v>7903</v>
      </c>
      <c r="P20">
        <v>66</v>
      </c>
      <c r="Q20">
        <v>64806</v>
      </c>
      <c r="R20">
        <v>29540</v>
      </c>
    </row>
    <row r="21" spans="1:18" x14ac:dyDescent="0.2">
      <c r="A21">
        <v>19</v>
      </c>
      <c r="B21">
        <v>1</v>
      </c>
      <c r="C21">
        <v>3237</v>
      </c>
      <c r="D21">
        <v>11137</v>
      </c>
      <c r="E21">
        <v>1473</v>
      </c>
      <c r="F21">
        <v>11376</v>
      </c>
      <c r="G21">
        <v>1755</v>
      </c>
      <c r="H21">
        <v>1472</v>
      </c>
      <c r="I21">
        <v>11</v>
      </c>
      <c r="J21">
        <v>13143</v>
      </c>
      <c r="K21">
        <v>2730</v>
      </c>
      <c r="L21">
        <v>7</v>
      </c>
      <c r="M21">
        <v>521</v>
      </c>
      <c r="O21">
        <v>11137</v>
      </c>
      <c r="P21">
        <v>92</v>
      </c>
      <c r="Q21">
        <v>13141</v>
      </c>
      <c r="R21">
        <v>2730</v>
      </c>
    </row>
    <row r="22" spans="1:18" x14ac:dyDescent="0.2">
      <c r="A22">
        <v>20</v>
      </c>
      <c r="B22">
        <v>1</v>
      </c>
      <c r="C22">
        <v>2396</v>
      </c>
      <c r="D22">
        <v>6738</v>
      </c>
      <c r="E22">
        <v>1659</v>
      </c>
      <c r="F22">
        <v>4</v>
      </c>
      <c r="G22">
        <v>2</v>
      </c>
      <c r="H22">
        <v>1658</v>
      </c>
      <c r="I22">
        <v>1</v>
      </c>
      <c r="J22">
        <v>1</v>
      </c>
      <c r="K22">
        <v>2</v>
      </c>
      <c r="L22">
        <v>5</v>
      </c>
      <c r="M22">
        <v>83</v>
      </c>
      <c r="O22">
        <v>6738</v>
      </c>
      <c r="P22">
        <v>89</v>
      </c>
      <c r="Q22">
        <v>1988</v>
      </c>
      <c r="R22">
        <v>880</v>
      </c>
    </row>
    <row r="23" spans="1:18" x14ac:dyDescent="0.2">
      <c r="A23">
        <v>21</v>
      </c>
      <c r="B23">
        <v>1</v>
      </c>
      <c r="C23">
        <v>3237</v>
      </c>
      <c r="D23">
        <v>11477</v>
      </c>
      <c r="E23">
        <v>1473</v>
      </c>
      <c r="F23">
        <v>11731</v>
      </c>
      <c r="G23">
        <v>1755</v>
      </c>
      <c r="H23">
        <v>1472</v>
      </c>
      <c r="I23">
        <v>7</v>
      </c>
      <c r="J23">
        <v>7901</v>
      </c>
      <c r="K23">
        <v>1638</v>
      </c>
      <c r="L23">
        <v>10</v>
      </c>
      <c r="M23">
        <v>559</v>
      </c>
      <c r="O23">
        <v>11477</v>
      </c>
      <c r="P23">
        <v>113</v>
      </c>
      <c r="Q23">
        <v>5936</v>
      </c>
      <c r="R23">
        <v>1638</v>
      </c>
    </row>
    <row r="24" spans="1:18" x14ac:dyDescent="0.2">
      <c r="A24">
        <v>22</v>
      </c>
      <c r="B24">
        <v>1</v>
      </c>
      <c r="C24">
        <v>2396</v>
      </c>
      <c r="D24">
        <v>6705</v>
      </c>
      <c r="E24">
        <v>1659</v>
      </c>
      <c r="F24">
        <v>115</v>
      </c>
      <c r="G24">
        <v>18</v>
      </c>
      <c r="H24">
        <v>1658</v>
      </c>
      <c r="I24">
        <v>0</v>
      </c>
      <c r="J24">
        <v>4</v>
      </c>
      <c r="K24">
        <v>2</v>
      </c>
      <c r="L24">
        <v>8</v>
      </c>
      <c r="M24">
        <v>91</v>
      </c>
      <c r="O24">
        <v>6705</v>
      </c>
      <c r="P24">
        <v>75</v>
      </c>
      <c r="Q24">
        <v>2243</v>
      </c>
      <c r="R24">
        <v>880</v>
      </c>
    </row>
    <row r="25" spans="1:18" x14ac:dyDescent="0.2">
      <c r="A25">
        <v>23</v>
      </c>
      <c r="B25">
        <v>1</v>
      </c>
      <c r="C25">
        <v>2396</v>
      </c>
      <c r="D25">
        <v>6722</v>
      </c>
      <c r="E25">
        <v>1659</v>
      </c>
      <c r="F25">
        <v>81</v>
      </c>
      <c r="G25">
        <v>18</v>
      </c>
      <c r="H25">
        <v>1658</v>
      </c>
      <c r="I25">
        <v>0</v>
      </c>
      <c r="J25">
        <v>5</v>
      </c>
      <c r="K25">
        <v>19</v>
      </c>
      <c r="L25">
        <v>10</v>
      </c>
      <c r="M25">
        <v>166</v>
      </c>
      <c r="O25">
        <v>6722</v>
      </c>
      <c r="P25">
        <v>80</v>
      </c>
      <c r="Q25">
        <v>19470</v>
      </c>
      <c r="R25">
        <v>8360</v>
      </c>
    </row>
    <row r="26" spans="1:18" x14ac:dyDescent="0.2">
      <c r="A26">
        <v>24</v>
      </c>
      <c r="B26">
        <v>1</v>
      </c>
      <c r="C26">
        <v>3440</v>
      </c>
      <c r="D26">
        <v>12519</v>
      </c>
      <c r="E26">
        <v>1439</v>
      </c>
      <c r="F26">
        <v>13145</v>
      </c>
      <c r="G26">
        <v>1992</v>
      </c>
      <c r="H26">
        <v>1438</v>
      </c>
      <c r="I26">
        <v>13</v>
      </c>
      <c r="J26">
        <v>21442</v>
      </c>
      <c r="K26">
        <v>3668</v>
      </c>
      <c r="L26">
        <v>7</v>
      </c>
      <c r="M26">
        <v>622</v>
      </c>
      <c r="O26">
        <v>12519</v>
      </c>
      <c r="P26">
        <v>130</v>
      </c>
      <c r="Q26">
        <v>13984</v>
      </c>
      <c r="R26">
        <v>3668</v>
      </c>
    </row>
    <row r="27" spans="1:18" x14ac:dyDescent="0.2">
      <c r="A27">
        <v>25</v>
      </c>
      <c r="B27">
        <v>1</v>
      </c>
      <c r="C27">
        <v>3321</v>
      </c>
      <c r="D27">
        <v>15293</v>
      </c>
      <c r="E27">
        <v>1241</v>
      </c>
      <c r="F27">
        <v>16100</v>
      </c>
      <c r="G27">
        <v>2071</v>
      </c>
      <c r="H27">
        <v>1240</v>
      </c>
      <c r="I27">
        <v>48</v>
      </c>
      <c r="J27">
        <v>215831</v>
      </c>
      <c r="K27">
        <v>23256</v>
      </c>
      <c r="L27">
        <v>11</v>
      </c>
      <c r="M27">
        <v>630</v>
      </c>
      <c r="O27">
        <v>15293</v>
      </c>
      <c r="P27">
        <v>162</v>
      </c>
      <c r="Q27">
        <v>105077</v>
      </c>
      <c r="R27">
        <v>23256</v>
      </c>
    </row>
    <row r="28" spans="1:18" x14ac:dyDescent="0.2">
      <c r="A28">
        <v>26</v>
      </c>
      <c r="B28">
        <v>1</v>
      </c>
      <c r="C28">
        <v>2428</v>
      </c>
      <c r="D28">
        <v>7282</v>
      </c>
      <c r="E28">
        <v>1623</v>
      </c>
      <c r="F28">
        <v>3409</v>
      </c>
      <c r="G28">
        <v>320</v>
      </c>
      <c r="H28">
        <v>1622</v>
      </c>
      <c r="I28">
        <v>5</v>
      </c>
      <c r="J28">
        <v>8574</v>
      </c>
      <c r="K28">
        <v>4818</v>
      </c>
      <c r="L28">
        <v>5</v>
      </c>
      <c r="M28">
        <v>127</v>
      </c>
      <c r="O28">
        <v>7282</v>
      </c>
      <c r="P28">
        <v>94</v>
      </c>
      <c r="Q28">
        <v>14877</v>
      </c>
      <c r="R28">
        <v>4818</v>
      </c>
    </row>
    <row r="29" spans="1:18" x14ac:dyDescent="0.2">
      <c r="A29">
        <v>27</v>
      </c>
      <c r="B29">
        <v>16</v>
      </c>
      <c r="C29">
        <v>2275</v>
      </c>
      <c r="D29">
        <v>6717</v>
      </c>
      <c r="E29">
        <v>1534</v>
      </c>
      <c r="F29">
        <v>3193</v>
      </c>
      <c r="G29">
        <v>300</v>
      </c>
      <c r="H29">
        <v>13</v>
      </c>
      <c r="I29">
        <v>60</v>
      </c>
      <c r="J29">
        <v>3419</v>
      </c>
      <c r="K29">
        <v>1462</v>
      </c>
      <c r="L29">
        <v>14</v>
      </c>
      <c r="M29">
        <v>129</v>
      </c>
      <c r="O29">
        <v>6717</v>
      </c>
      <c r="P29">
        <v>81</v>
      </c>
      <c r="Q29">
        <v>89974</v>
      </c>
      <c r="R29">
        <v>48620</v>
      </c>
    </row>
    <row r="30" spans="1:18" s="2" customFormat="1" x14ac:dyDescent="0.2">
      <c r="A30" s="2">
        <v>28</v>
      </c>
      <c r="B30" s="2">
        <v>16</v>
      </c>
      <c r="D30">
        <v>12358</v>
      </c>
      <c r="N30" s="3"/>
      <c r="O30">
        <v>12358</v>
      </c>
      <c r="P30">
        <v>104</v>
      </c>
      <c r="Q30">
        <v>10955136</v>
      </c>
      <c r="R30">
        <v>2014584</v>
      </c>
    </row>
    <row r="31" spans="1:18" x14ac:dyDescent="0.2">
      <c r="A31">
        <v>29</v>
      </c>
      <c r="B31">
        <v>1</v>
      </c>
      <c r="C31">
        <v>3040</v>
      </c>
      <c r="D31">
        <v>9857</v>
      </c>
      <c r="E31">
        <v>1507</v>
      </c>
      <c r="F31">
        <v>9794</v>
      </c>
      <c r="G31">
        <v>1524</v>
      </c>
      <c r="H31">
        <v>1506</v>
      </c>
      <c r="I31">
        <v>6</v>
      </c>
      <c r="J31">
        <v>1681</v>
      </c>
      <c r="K31">
        <v>440</v>
      </c>
      <c r="L31">
        <v>5</v>
      </c>
      <c r="M31">
        <v>422</v>
      </c>
      <c r="O31">
        <v>9857</v>
      </c>
      <c r="P31">
        <v>121</v>
      </c>
      <c r="Q31">
        <v>2090</v>
      </c>
      <c r="R31">
        <v>440</v>
      </c>
    </row>
    <row r="32" spans="1:18" x14ac:dyDescent="0.2">
      <c r="A32" t="s">
        <v>11</v>
      </c>
      <c r="B32">
        <v>20</v>
      </c>
      <c r="C32">
        <v>2396</v>
      </c>
      <c r="D32">
        <v>0</v>
      </c>
      <c r="E32">
        <v>1659</v>
      </c>
      <c r="F32">
        <v>2622</v>
      </c>
      <c r="G32">
        <v>252</v>
      </c>
      <c r="H32">
        <v>1639</v>
      </c>
      <c r="I32">
        <v>51</v>
      </c>
      <c r="J32">
        <v>665</v>
      </c>
      <c r="K32">
        <v>457</v>
      </c>
      <c r="L32">
        <v>19</v>
      </c>
      <c r="M32">
        <v>148</v>
      </c>
    </row>
    <row r="34" spans="1:18" x14ac:dyDescent="0.2">
      <c r="A34" t="s">
        <v>14</v>
      </c>
      <c r="B34">
        <f>AVERAGE(B2:B31)</f>
        <v>5.5</v>
      </c>
      <c r="C34">
        <f t="shared" ref="C34:M34" si="0">AVERAGE(C2:C31)</f>
        <v>2619.8571428571427</v>
      </c>
      <c r="D34">
        <f t="shared" si="0"/>
        <v>8754.5</v>
      </c>
      <c r="E34">
        <f t="shared" si="0"/>
        <v>1531.8571428571429</v>
      </c>
      <c r="F34">
        <f t="shared" si="0"/>
        <v>5632.5357142857147</v>
      </c>
      <c r="G34">
        <f t="shared" si="0"/>
        <v>695.53571428571433</v>
      </c>
      <c r="H34">
        <f t="shared" si="0"/>
        <v>1160.6071428571429</v>
      </c>
      <c r="I34">
        <f t="shared" si="0"/>
        <v>14.928571428571429</v>
      </c>
      <c r="J34">
        <f t="shared" si="0"/>
        <v>2023544.2142857143</v>
      </c>
      <c r="K34">
        <f t="shared" si="0"/>
        <v>345363.92857142858</v>
      </c>
      <c r="L34">
        <f t="shared" si="0"/>
        <v>6.5357142857142856</v>
      </c>
      <c r="M34">
        <f t="shared" si="0"/>
        <v>245.60714285714286</v>
      </c>
      <c r="O34">
        <f>AVERAGE(O2:O31)</f>
        <v>8754.5</v>
      </c>
      <c r="P34">
        <f t="shared" ref="P34:R34" si="1">AVERAGE(P2:P31)</f>
        <v>96.041666666666671</v>
      </c>
      <c r="Q34">
        <f t="shared" si="1"/>
        <v>555174.41666666663</v>
      </c>
      <c r="R34">
        <f t="shared" si="1"/>
        <v>104292.75</v>
      </c>
    </row>
    <row r="35" spans="1:18" x14ac:dyDescent="0.2">
      <c r="A35" s="11" t="s">
        <v>13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</sheetData>
  <sortState ref="A2:M32">
    <sortCondition ref="A3"/>
  </sortState>
  <mergeCells count="1">
    <mergeCell ref="A35:M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csos_paired_res (2)</vt:lpstr>
      <vt:lpstr>Sheet2</vt:lpstr>
      <vt:lpstr>csos_paired_res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2017-05-06T00:57:33Z</dcterms:created>
  <dcterms:modified xsi:type="dcterms:W3CDTF">2017-05-10T16:13:06Z</dcterms:modified>
</cp:coreProperties>
</file>